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f06ca146974bb3/Documents/Job Search/Resumes and Interviews/Portfolio Projects/HP Print Franchise Portfolio Project (Option Modeling)/"/>
    </mc:Choice>
  </mc:AlternateContent>
  <xr:revisionPtr revIDLastSave="1142" documentId="8_{F782E844-CC6F-43CD-BF21-1C3A243ABD04}" xr6:coauthVersionLast="47" xr6:coauthVersionMax="47" xr10:uidLastSave="{976DEAFB-014F-4F7A-B1F7-17AC559E3A4D}"/>
  <bookViews>
    <workbookView xWindow="-57720" yWindow="-120" windowWidth="29040" windowHeight="17520" xr2:uid="{7F93956E-02D8-4F4D-A1FE-D6A37372E11B}"/>
  </bookViews>
  <sheets>
    <sheet name="Cover_Assumptions" sheetId="4" r:id="rId1"/>
    <sheet name="Option_A" sheetId="2" r:id="rId2"/>
    <sheet name="Option_B" sheetId="3" r:id="rId3"/>
    <sheet name="Combined_Scenario" sheetId="5" r:id="rId4"/>
    <sheet name="Portfolio_Comparison" sheetId="1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6" i="3" l="1"/>
  <c r="D56" i="3" s="1"/>
  <c r="E56" i="3" s="1"/>
  <c r="F56" i="3" s="1"/>
  <c r="G56" i="3" s="1"/>
  <c r="H56" i="3" s="1"/>
  <c r="C12" i="5"/>
  <c r="D12" i="5"/>
  <c r="E12" i="5"/>
  <c r="F12" i="5"/>
  <c r="B12" i="5"/>
  <c r="C48" i="3" l="1"/>
  <c r="D48" i="3"/>
  <c r="E48" i="3"/>
  <c r="F48" i="3"/>
  <c r="B48" i="3"/>
  <c r="C2" i="3"/>
  <c r="B41" i="4"/>
  <c r="B40" i="4"/>
  <c r="B10" i="3" s="1"/>
  <c r="C10" i="3" s="1"/>
  <c r="D10" i="3" s="1"/>
  <c r="E10" i="3" s="1"/>
  <c r="B6" i="3"/>
  <c r="C6" i="3" s="1"/>
  <c r="D6" i="3" s="1"/>
  <c r="E6" i="3" s="1"/>
  <c r="F6" i="3" s="1"/>
  <c r="C3" i="3"/>
  <c r="B20" i="3" s="1"/>
  <c r="C20" i="3" s="1"/>
  <c r="D20" i="3" s="1"/>
  <c r="E20" i="3" s="1"/>
  <c r="F20" i="3" s="1"/>
  <c r="A54" i="2"/>
  <c r="C52" i="2"/>
  <c r="D52" i="2" s="1"/>
  <c r="E52" i="2" s="1"/>
  <c r="F52" i="2" s="1"/>
  <c r="G52" i="2" s="1"/>
  <c r="H52" i="2" s="1"/>
  <c r="I52" i="2" s="1"/>
  <c r="J52" i="2" s="1"/>
  <c r="K52" i="2" s="1"/>
  <c r="L52" i="2" s="1"/>
  <c r="M52" i="2" s="1"/>
  <c r="N52" i="2" s="1"/>
  <c r="O52" i="2" s="1"/>
  <c r="P52" i="2" s="1"/>
  <c r="Q52" i="2" s="1"/>
  <c r="E26" i="3" l="1"/>
  <c r="E24" i="3"/>
  <c r="F26" i="3"/>
  <c r="B24" i="3"/>
  <c r="D26" i="3"/>
  <c r="F24" i="3"/>
  <c r="C26" i="3"/>
  <c r="D24" i="3"/>
  <c r="C24" i="3"/>
  <c r="B26" i="3"/>
  <c r="F10" i="3"/>
  <c r="A55" i="2"/>
  <c r="E28" i="3" l="1"/>
  <c r="C28" i="3"/>
  <c r="F28" i="3"/>
  <c r="B28" i="3"/>
  <c r="B30" i="3" s="1"/>
  <c r="B32" i="3" s="1"/>
  <c r="D28" i="3"/>
  <c r="A56" i="2"/>
  <c r="D30" i="3" l="1"/>
  <c r="D32" i="3" s="1"/>
  <c r="F30" i="3"/>
  <c r="F32" i="3" s="1"/>
  <c r="C30" i="3"/>
  <c r="C32" i="3" s="1"/>
  <c r="E30" i="3"/>
  <c r="E32" i="3" s="1"/>
  <c r="A57" i="2"/>
  <c r="A58" i="2" l="1"/>
  <c r="A59" i="2" l="1"/>
  <c r="A60" i="2" s="1"/>
  <c r="A61" i="2" s="1"/>
  <c r="A62" i="2" s="1"/>
  <c r="A63" i="2"/>
  <c r="C39" i="2"/>
  <c r="D39" i="2"/>
  <c r="E39" i="2"/>
  <c r="F39" i="2"/>
  <c r="B39" i="2"/>
  <c r="C3" i="2"/>
  <c r="B31" i="2" s="1"/>
  <c r="C2" i="2"/>
  <c r="B12" i="2"/>
  <c r="C12" i="2" s="1"/>
  <c r="B27" i="4"/>
  <c r="B7" i="2"/>
  <c r="B21" i="2" s="1"/>
  <c r="B6" i="2"/>
  <c r="C6" i="2" s="1"/>
  <c r="C20" i="2" s="1"/>
  <c r="B12" i="4"/>
  <c r="B7" i="4"/>
  <c r="B8" i="2" l="1"/>
  <c r="B10" i="2" s="1"/>
  <c r="E8" i="3"/>
  <c r="C22" i="3"/>
  <c r="C12" i="3"/>
  <c r="C36" i="3" s="1"/>
  <c r="F8" i="3"/>
  <c r="D22" i="3"/>
  <c r="D12" i="3"/>
  <c r="D36" i="3" s="1"/>
  <c r="B8" i="3"/>
  <c r="B14" i="3" s="1"/>
  <c r="B16" i="3" s="1"/>
  <c r="E22" i="3"/>
  <c r="E12" i="3"/>
  <c r="E36" i="3" s="1"/>
  <c r="B22" i="3"/>
  <c r="B12" i="3"/>
  <c r="B36" i="3" s="1"/>
  <c r="C8" i="3"/>
  <c r="D8" i="3"/>
  <c r="F22" i="3"/>
  <c r="F12" i="3"/>
  <c r="F36" i="3" s="1"/>
  <c r="B14" i="2"/>
  <c r="D12" i="2"/>
  <c r="D26" i="2" s="1"/>
  <c r="D28" i="2" s="1"/>
  <c r="C14" i="2"/>
  <c r="B20" i="2"/>
  <c r="B22" i="2" s="1"/>
  <c r="B24" i="2" s="1"/>
  <c r="B48" i="2"/>
  <c r="B47" i="2"/>
  <c r="B50" i="2" s="1"/>
  <c r="A64" i="2"/>
  <c r="C26" i="2"/>
  <c r="C28" i="2" s="1"/>
  <c r="B26" i="2"/>
  <c r="B28" i="2" s="1"/>
  <c r="D6" i="2"/>
  <c r="D20" i="2" s="1"/>
  <c r="C7" i="2"/>
  <c r="C21" i="2" s="1"/>
  <c r="C22" i="2" s="1"/>
  <c r="C24" i="2" s="1"/>
  <c r="B15" i="2" l="1"/>
  <c r="B6" i="5"/>
  <c r="B8" i="5" s="1"/>
  <c r="B10" i="5" s="1"/>
  <c r="B14" i="5" s="1"/>
  <c r="C14" i="3"/>
  <c r="C16" i="3" s="1"/>
  <c r="D38" i="3"/>
  <c r="D40" i="3" s="1"/>
  <c r="D42" i="3" s="1"/>
  <c r="D14" i="3"/>
  <c r="D16" i="3" s="1"/>
  <c r="F38" i="3"/>
  <c r="F40" i="3" s="1"/>
  <c r="F42" i="3" s="1"/>
  <c r="F14" i="3"/>
  <c r="F16" i="3" s="1"/>
  <c r="B38" i="3"/>
  <c r="B40" i="3" s="1"/>
  <c r="B42" i="3" s="1"/>
  <c r="B46" i="3" s="1"/>
  <c r="B50" i="3" s="1"/>
  <c r="C38" i="3"/>
  <c r="C40" i="3" s="1"/>
  <c r="C42" i="3" s="1"/>
  <c r="E14" i="3"/>
  <c r="E16" i="3" s="1"/>
  <c r="E38" i="3"/>
  <c r="E40" i="3" s="1"/>
  <c r="E42" i="3" s="1"/>
  <c r="B16" i="2"/>
  <c r="D14" i="2"/>
  <c r="E12" i="2"/>
  <c r="A65" i="2"/>
  <c r="C29" i="2"/>
  <c r="C30" i="2"/>
  <c r="C33" i="2" s="1"/>
  <c r="B29" i="2"/>
  <c r="B30" i="2"/>
  <c r="B33" i="2" s="1"/>
  <c r="D7" i="2"/>
  <c r="C8" i="2"/>
  <c r="C10" i="2" s="1"/>
  <c r="C16" i="2" s="1"/>
  <c r="E6" i="2"/>
  <c r="E20" i="2" s="1"/>
  <c r="C46" i="3" l="1"/>
  <c r="C50" i="3" s="1"/>
  <c r="B37" i="2"/>
  <c r="B41" i="2" s="1"/>
  <c r="C6" i="5"/>
  <c r="C8" i="5" s="1"/>
  <c r="C10" i="5" s="1"/>
  <c r="C14" i="5" s="1"/>
  <c r="D46" i="3"/>
  <c r="D50" i="3" s="1"/>
  <c r="E46" i="3"/>
  <c r="E50" i="3" s="1"/>
  <c r="F46" i="3"/>
  <c r="F50" i="3" s="1"/>
  <c r="F12" i="2"/>
  <c r="E14" i="2"/>
  <c r="E26" i="2"/>
  <c r="E28" i="2" s="1"/>
  <c r="E7" i="2"/>
  <c r="D21" i="2"/>
  <c r="D22" i="2" s="1"/>
  <c r="D24" i="2" s="1"/>
  <c r="C15" i="2"/>
  <c r="C37" i="2"/>
  <c r="C41" i="2" s="1"/>
  <c r="A66" i="2"/>
  <c r="D8" i="2"/>
  <c r="D10" i="2" s="1"/>
  <c r="F6" i="2"/>
  <c r="D6" i="5" l="1"/>
  <c r="D8" i="5" s="1"/>
  <c r="D10" i="5" s="1"/>
  <c r="D14" i="5" s="1"/>
  <c r="B52" i="3"/>
  <c r="A56" i="3" s="1"/>
  <c r="D30" i="2"/>
  <c r="D33" i="2" s="1"/>
  <c r="D29" i="2"/>
  <c r="F7" i="2"/>
  <c r="E21" i="2"/>
  <c r="E22" i="2" s="1"/>
  <c r="E24" i="2" s="1"/>
  <c r="E6" i="5" s="1"/>
  <c r="E8" i="5" s="1"/>
  <c r="E10" i="5" s="1"/>
  <c r="E14" i="5" s="1"/>
  <c r="F20" i="2"/>
  <c r="F22" i="2" s="1"/>
  <c r="F24" i="2" s="1"/>
  <c r="D15" i="2"/>
  <c r="D16" i="2"/>
  <c r="E8" i="2"/>
  <c r="E10" i="2" s="1"/>
  <c r="F14" i="2"/>
  <c r="F26" i="2"/>
  <c r="F28" i="2" s="1"/>
  <c r="A67" i="2"/>
  <c r="F21" i="2" l="1"/>
  <c r="F8" i="2"/>
  <c r="F10" i="2" s="1"/>
  <c r="F15" i="2" s="1"/>
  <c r="E30" i="2"/>
  <c r="E33" i="2" s="1"/>
  <c r="E29" i="2"/>
  <c r="F29" i="2"/>
  <c r="F30" i="2"/>
  <c r="F33" i="2" s="1"/>
  <c r="E16" i="2"/>
  <c r="E15" i="2"/>
  <c r="D37" i="2"/>
  <c r="D41" i="2" s="1"/>
  <c r="A68" i="2"/>
  <c r="F6" i="5" l="1"/>
  <c r="F8" i="5" s="1"/>
  <c r="F10" i="5" s="1"/>
  <c r="F14" i="5" s="1"/>
  <c r="B16" i="5" s="1"/>
  <c r="F16" i="2"/>
  <c r="F37" i="2" s="1"/>
  <c r="F41" i="2" s="1"/>
  <c r="E37" i="2"/>
  <c r="E41" i="2" s="1"/>
  <c r="B43" i="2" s="1"/>
  <c r="C53" i="2" l="1"/>
  <c r="B20" i="5"/>
  <c r="F55" i="2"/>
  <c r="Q55" i="2"/>
  <c r="Q58" i="2"/>
  <c r="J53" i="2"/>
  <c r="B53" i="2"/>
  <c r="G55" i="2"/>
  <c r="H56" i="2"/>
  <c r="K53" i="2"/>
  <c r="H55" i="2"/>
  <c r="I56" i="2"/>
  <c r="D53" i="2"/>
  <c r="L53" i="2"/>
  <c r="I55" i="2"/>
  <c r="P56" i="2"/>
  <c r="M53" i="2"/>
  <c r="K55" i="2"/>
  <c r="Q56" i="2"/>
  <c r="F53" i="2"/>
  <c r="N53" i="2"/>
  <c r="N54" i="2"/>
  <c r="I57" i="2"/>
  <c r="O53" i="2"/>
  <c r="Q54" i="2"/>
  <c r="O55" i="2"/>
  <c r="Q57" i="2"/>
  <c r="H53" i="2"/>
  <c r="P53" i="2"/>
  <c r="C55" i="2"/>
  <c r="I58" i="2"/>
  <c r="I53" i="2"/>
  <c r="Q53" i="2"/>
  <c r="H54" i="2"/>
  <c r="I54" i="2"/>
  <c r="N55" i="2"/>
  <c r="J54" i="2"/>
  <c r="M58" i="2"/>
  <c r="H58" i="2"/>
  <c r="D57" i="2"/>
  <c r="C57" i="2"/>
  <c r="B56" i="2"/>
  <c r="N56" i="2"/>
  <c r="D54" i="2"/>
  <c r="E55" i="2"/>
  <c r="N57" i="2"/>
  <c r="E58" i="2"/>
  <c r="O58" i="2"/>
  <c r="L56" i="2"/>
  <c r="K56" i="2"/>
  <c r="J55" i="2"/>
  <c r="K54" i="2"/>
  <c r="K58" i="2"/>
  <c r="O56" i="2"/>
  <c r="M55" i="2"/>
  <c r="N58" i="2"/>
  <c r="L57" i="2"/>
  <c r="M57" i="2"/>
  <c r="O57" i="2"/>
  <c r="D56" i="2"/>
  <c r="C56" i="2"/>
  <c r="O54" i="2"/>
  <c r="C54" i="2"/>
  <c r="J57" i="2"/>
  <c r="D58" i="2"/>
  <c r="J56" i="2"/>
  <c r="E57" i="2"/>
  <c r="G57" i="2"/>
  <c r="L55" i="2"/>
  <c r="J58" i="2"/>
  <c r="P57" i="2"/>
  <c r="G54" i="2"/>
  <c r="L58" i="2"/>
  <c r="P58" i="2"/>
  <c r="E54" i="2"/>
  <c r="K57" i="2"/>
  <c r="L54" i="2"/>
  <c r="M56" i="2"/>
  <c r="G56" i="2"/>
  <c r="D55" i="2"/>
  <c r="B58" i="2"/>
  <c r="G58" i="2"/>
  <c r="F54" i="2"/>
  <c r="E56" i="2"/>
  <c r="M54" i="2"/>
  <c r="C58" i="2"/>
  <c r="H57" i="2"/>
  <c r="B55" i="2"/>
  <c r="F59" i="2"/>
  <c r="H59" i="2"/>
  <c r="Q59" i="2"/>
  <c r="J59" i="2"/>
  <c r="E59" i="2"/>
  <c r="N59" i="2"/>
  <c r="L59" i="2"/>
  <c r="B59" i="2"/>
  <c r="I59" i="2"/>
  <c r="C59" i="2"/>
  <c r="G59" i="2"/>
  <c r="D59" i="2"/>
  <c r="O59" i="2"/>
  <c r="K59" i="2"/>
  <c r="P59" i="2"/>
  <c r="M59" i="2"/>
  <c r="F56" i="2"/>
  <c r="K60" i="2"/>
  <c r="G60" i="2"/>
  <c r="F60" i="2"/>
  <c r="Q60" i="2"/>
  <c r="P60" i="2"/>
  <c r="N60" i="2"/>
  <c r="O60" i="2"/>
  <c r="D60" i="2"/>
  <c r="L60" i="2"/>
  <c r="B60" i="2"/>
  <c r="H60" i="2"/>
  <c r="J60" i="2"/>
  <c r="E60" i="2"/>
  <c r="C60" i="2"/>
  <c r="I60" i="2"/>
  <c r="M60" i="2"/>
  <c r="F57" i="2"/>
  <c r="D61" i="2"/>
  <c r="M61" i="2"/>
  <c r="L61" i="2"/>
  <c r="N61" i="2"/>
  <c r="F61" i="2"/>
  <c r="Q61" i="2"/>
  <c r="H61" i="2"/>
  <c r="B61" i="2"/>
  <c r="G61" i="2"/>
  <c r="J61" i="2"/>
  <c r="E61" i="2"/>
  <c r="O61" i="2"/>
  <c r="P61" i="2"/>
  <c r="I61" i="2"/>
  <c r="K61" i="2"/>
  <c r="C61" i="2"/>
  <c r="F58" i="2"/>
  <c r="J62" i="2"/>
  <c r="M62" i="2"/>
  <c r="C62" i="2"/>
  <c r="G62" i="2"/>
  <c r="Q62" i="2"/>
  <c r="I62" i="2"/>
  <c r="K62" i="2"/>
  <c r="H62" i="2"/>
  <c r="F62" i="2"/>
  <c r="L62" i="2"/>
  <c r="O62" i="2"/>
  <c r="N62" i="2"/>
  <c r="D62" i="2"/>
  <c r="P62" i="2"/>
  <c r="B62" i="2"/>
  <c r="E62" i="2"/>
  <c r="G63" i="2"/>
  <c r="M63" i="2"/>
  <c r="K63" i="2"/>
  <c r="N63" i="2"/>
  <c r="H63" i="2"/>
  <c r="B63" i="2"/>
  <c r="I63" i="2"/>
  <c r="F63" i="2"/>
  <c r="J63" i="2"/>
  <c r="E63" i="2"/>
  <c r="C63" i="2"/>
  <c r="O63" i="2"/>
  <c r="P63" i="2"/>
  <c r="L63" i="2"/>
  <c r="D63" i="2"/>
  <c r="Q63" i="2"/>
  <c r="B64" i="2"/>
  <c r="G64" i="2"/>
  <c r="J64" i="2"/>
  <c r="H64" i="2"/>
  <c r="Q64" i="2"/>
  <c r="O64" i="2"/>
  <c r="E64" i="2"/>
  <c r="M64" i="2"/>
  <c r="N64" i="2"/>
  <c r="D64" i="2"/>
  <c r="C64" i="2"/>
  <c r="L64" i="2"/>
  <c r="K64" i="2"/>
  <c r="P64" i="2"/>
  <c r="I64" i="2"/>
  <c r="F64" i="2"/>
  <c r="Q65" i="2"/>
  <c r="J65" i="2"/>
  <c r="I65" i="2"/>
  <c r="C65" i="2"/>
  <c r="E65" i="2"/>
  <c r="K65" i="2"/>
  <c r="M65" i="2"/>
  <c r="H65" i="2"/>
  <c r="F65" i="2"/>
  <c r="O65" i="2"/>
  <c r="B65" i="2"/>
  <c r="D65" i="2"/>
  <c r="G65" i="2"/>
  <c r="L65" i="2"/>
  <c r="P65" i="2"/>
  <c r="N65" i="2"/>
  <c r="I66" i="2"/>
  <c r="N66" i="2"/>
  <c r="B66" i="2"/>
  <c r="H66" i="2"/>
  <c r="F66" i="2"/>
  <c r="O66" i="2"/>
  <c r="C66" i="2"/>
  <c r="G66" i="2"/>
  <c r="J66" i="2"/>
  <c r="D66" i="2"/>
  <c r="L66" i="2"/>
  <c r="E66" i="2"/>
  <c r="M66" i="2"/>
  <c r="K66" i="2"/>
  <c r="P66" i="2"/>
  <c r="Q66" i="2"/>
  <c r="N67" i="2"/>
  <c r="I67" i="2"/>
  <c r="P67" i="2"/>
  <c r="O67" i="2"/>
  <c r="D67" i="2"/>
  <c r="L67" i="2"/>
  <c r="J67" i="2"/>
  <c r="K67" i="2"/>
  <c r="H67" i="2"/>
  <c r="B67" i="2"/>
  <c r="Q67" i="2"/>
  <c r="E67" i="2"/>
  <c r="C67" i="2"/>
  <c r="F67" i="2"/>
  <c r="G67" i="2"/>
  <c r="M67" i="2"/>
  <c r="D68" i="2"/>
  <c r="O68" i="2"/>
  <c r="I68" i="2"/>
  <c r="N68" i="2"/>
  <c r="G68" i="2"/>
  <c r="J68" i="2"/>
  <c r="C68" i="2"/>
  <c r="F68" i="2"/>
  <c r="L68" i="2"/>
  <c r="P68" i="2"/>
  <c r="Q68" i="2"/>
  <c r="H68" i="2"/>
  <c r="E68" i="2"/>
  <c r="M68" i="2"/>
  <c r="B68" i="2"/>
  <c r="K68" i="2"/>
  <c r="P54" i="2" l="1"/>
  <c r="B57" i="2"/>
  <c r="B54" i="2"/>
  <c r="P55" i="2"/>
  <c r="G53" i="2"/>
  <c r="E53" i="2"/>
</calcChain>
</file>

<file path=xl/sharedStrings.xml><?xml version="1.0" encoding="utf-8"?>
<sst xmlns="http://schemas.openxmlformats.org/spreadsheetml/2006/main" count="241" uniqueCount="174">
  <si>
    <t>Discount Rate &amp; Horizon</t>
  </si>
  <si>
    <t>Discount Rate (WACC)</t>
  </si>
  <si>
    <t>Horizon Start (FY)</t>
  </si>
  <si>
    <t>Horizon End (FY)</t>
  </si>
  <si>
    <t>Horizon Length (Years)</t>
  </si>
  <si>
    <t>HP Print Franchise Portfolio - Cover Assumptions</t>
  </si>
  <si>
    <t>Real Anchoring Data (HP FY25 10-K &amp; Earnings Releases)</t>
  </si>
  <si>
    <t>Total HP Net Revenue, FY25 ($B)</t>
  </si>
  <si>
    <t>Source: HP Inc. FY25 10-K / Q4 FY25 Earnings Release, SEC EDGAR</t>
  </si>
  <si>
    <t>Printing Segment Net Revenue, FY25 ($B)</t>
  </si>
  <si>
    <t>Source: Sum of Q1-Q4 FY25 8-K earnings releases (SEC EDGAR)</t>
  </si>
  <si>
    <t>Printing Segment Operating Margin, FY25 (blended)</t>
  </si>
  <si>
    <t>Source: Q1-Q4 FY25 earnings releases; true 4-quarter average, not a single-quarter proxy</t>
  </si>
  <si>
    <t>Supplies Revenue Decline, FY25 (YoY)</t>
  </si>
  <si>
    <t>Source: HP FY25 10-K - "decline in the installed base and usage"</t>
  </si>
  <si>
    <t>Hardware Unit Volume Decline, FY25 (YoY)</t>
  </si>
  <si>
    <t>Source: HP FY25 10-K</t>
  </si>
  <si>
    <t>Hardware ASP Decline, FY25 (YoY)</t>
  </si>
  <si>
    <t>Option A - New Printer Generation Launch: Locked Assumptions</t>
  </si>
  <si>
    <t>Hardware Margin</t>
  </si>
  <si>
    <t>Derived: back-solved from FY25 blended Printing margin (18.7%) and est. hardware ~35% of segment revenue. Not an HP-disclosed figure.</t>
  </si>
  <si>
    <t>Supplies Margin</t>
  </si>
  <si>
    <t>Derived alongside hardware margin to reconcile blended 18.7% average. Not an HP-disclosed figure.</t>
  </si>
  <si>
    <t>NPI Launch Cost - Base ($M)</t>
  </si>
  <si>
    <t>Bounded against HP's disclosed FY25 total company R&amp;D expense ($1.6B; MacroTrends/10-K). Not a bottom-up or sourced figure - the single most estimated most estimated number in Option A.</t>
  </si>
  <si>
    <t>Aftermarket Recapture Premium - Downside</t>
  </si>
  <si>
    <t>Aftermarket Recapture Premium - Base</t>
  </si>
  <si>
    <t>Aftermarket Recapture Premium - Upside</t>
  </si>
  <si>
    <t>Scaled off the real -3.4% FY25 Supplies decline (only available reference point). Softest assumption in Option A - no disclosed decay-curve data.</t>
  </si>
  <si>
    <t>Option B - Instant Ink Subscription Accelaration: Locked Assumptions</t>
  </si>
  <si>
    <t>Subscriber Base, FY24 (millions)</t>
  </si>
  <si>
    <t>Source: HP mgmt (Lores), Morgan Stanley TMT Conf., Mar 2024 - last explicit disclosed figure</t>
  </si>
  <si>
    <t>Organic Growth Rate, FY27+ (Do-Nothing)</t>
  </si>
  <si>
    <t>Derived from historical CAGR deceleration: 21%/yr (2020-22) -&gt; 9%/yr (2022-24) -&gt; ~7%/yr projected</t>
  </si>
  <si>
    <t>Growth Accelaration - Downside (pts)</t>
  </si>
  <si>
    <t>Growth Accelaration - Base (pts)</t>
  </si>
  <si>
    <t>Growth Accelaration - Upside (pts)</t>
  </si>
  <si>
    <t>Anchored to real historical CAGR; upside deliberately kept below HP's own +25% FY26 target (investor guidance, not base-case-acheivable)</t>
  </si>
  <si>
    <t>Option A - New Printer Generation Launch</t>
  </si>
  <si>
    <t>Do-Nothing Case</t>
  </si>
  <si>
    <t>FY27</t>
  </si>
  <si>
    <t>FY28</t>
  </si>
  <si>
    <t>FY29</t>
  </si>
  <si>
    <t>FY30</t>
  </si>
  <si>
    <t>FY31</t>
  </si>
  <si>
    <t>Hardware Units (index, FY26=100)</t>
  </si>
  <si>
    <t>Hardware ASP (index, FY26=100)</t>
  </si>
  <si>
    <t>Hardware Revenue (index)</t>
  </si>
  <si>
    <t>Estimated Hardware % of Printing Segment Revenue</t>
  </si>
  <si>
    <t>Estimated Hardware Revenue, FY25 ($B)</t>
  </si>
  <si>
    <t>Older public estimate cited in press coverage - not a disclosed HP figure; same derivation used for the 4%/28% margin split</t>
  </si>
  <si>
    <t>Hardware Revenue ($M)</t>
  </si>
  <si>
    <t>Supplies Capture Rate (index, FY26=100)</t>
  </si>
  <si>
    <t>Supplies Revenue ($M)</t>
  </si>
  <si>
    <t>Total Revenue ($M)</t>
  </si>
  <si>
    <t>EBIT ($M)</t>
  </si>
  <si>
    <t>Source: Midpoint of Alpha Spread (7.47%) and valueinvesting.io (9.0%) HPQ-specific WACC estimates</t>
  </si>
  <si>
    <t>NPI Launch Cost - Lean ($M)</t>
  </si>
  <si>
    <t>NPI Launch Cost - Ambitious ($M)</t>
  </si>
  <si>
    <t>Recapture Premium Scenario:</t>
  </si>
  <si>
    <t>NPI Cost Scenario:</t>
  </si>
  <si>
    <t>Base</t>
  </si>
  <si>
    <t>Invest Case</t>
  </si>
  <si>
    <t>Hardware Units (index)</t>
  </si>
  <si>
    <t>Hardware ASP (index)</t>
  </si>
  <si>
    <t>Supplies Capture Rate (index)</t>
  </si>
  <si>
    <t>NPI Launch Cost ($M)</t>
  </si>
  <si>
    <t>Invest Case Net Cash Flow ($M)</t>
  </si>
  <si>
    <t>NPV Calculation</t>
  </si>
  <si>
    <t>Incremental Cash Flow ($M)</t>
  </si>
  <si>
    <t>Discount Factor</t>
  </si>
  <si>
    <t>PV of Incremental CF ($M)</t>
  </si>
  <si>
    <t>NPV ($M)</t>
  </si>
  <si>
    <t>Recapture Sensitivity ($M NPV per 1.0pt)</t>
  </si>
  <si>
    <t>NPI Cost Sensitivity ($M NPV per $1M)</t>
  </si>
  <si>
    <t>Sensitivity Analysis - Recapture Premium (%) x NPI Cost ($M)</t>
  </si>
  <si>
    <t>Option B - Instant Ink Subscription Acceleration</t>
  </si>
  <si>
    <t>Growth Acceleration Scenario:</t>
  </si>
  <si>
    <t>Subscription Revenue Index (FY26=100)</t>
  </si>
  <si>
    <t>Subscription Revenue ($M)</t>
  </si>
  <si>
    <t>Subscription Share of Supplies Revenue</t>
  </si>
  <si>
    <t>Triangulated: (a) Instant Ink pricing $5-8/mo × 13M subs × 12mo ≈ $780M-1.25B, ~7-12% of $10.9B Supplies base; (b) 10% sits mid-range. Not an HP-disclosed figure.</t>
  </si>
  <si>
    <t>Non-Subscription Residual Decline Rate</t>
  </si>
  <si>
    <t>Back-solved so the blend of subscription growth + non-subscription decline reconciles to the real -3.4% aggregate Supplies decline. Derived, not a new judgment call — same method as the 28% supplies margin derivation.</t>
  </si>
  <si>
    <t>Non-Subscription Revenue Index (FY26=100)</t>
  </si>
  <si>
    <t>Non-Subscription Revenue ($M)</t>
  </si>
  <si>
    <t>Total Supplies Revenue ($M)</t>
  </si>
  <si>
    <t>Subscription Revenue Index - Invest Case (accelarated growth)</t>
  </si>
  <si>
    <t>Non-Subscription Revenue, Invest Case ($M)</t>
  </si>
  <si>
    <t>Total Supplies Revenue, Invest Case ($M)</t>
  </si>
  <si>
    <t>EBIT, Invest Case ($M)</t>
  </si>
  <si>
    <t>CAC per Incremental Subscriber - Lean</t>
  </si>
  <si>
    <t>CAC per Incremental Subscriber - Base</t>
  </si>
  <si>
    <t>CAC per Incremental Subscriber - Ambitious</t>
  </si>
  <si>
    <t>Grounded in the model's own derived ARPU (~$79/subscriber/yr, from verified FY27 subscription revenue ÷ projected subscriber base) — CAC bracket set around half a year's ARPU at Base, standard subscription-business framing. Not an external estimate.</t>
  </si>
  <si>
    <t>Subscriber Base, FY26E (bridged, millions)</t>
  </si>
  <si>
    <t>Note: subscriber LTV lift (per HP's disclosed commentary — moving a customer to a "digital relationship" was stated to lift lifetime value 20%+, with "all-in plan" conversions specifically cited at 50%+) is not modeled as a separate revenue driver here. It's deliberately excluded to avoid conflating a volume mechanic (growth acceleration, modeled) with a value-per-conversion mechanic (LTV, not modeled) — the two are separate claims from separate evidence, and combining them without full rigor would overstate precision. Actual revenue uplift could be meaningfully higher than shown here as a result.</t>
  </si>
  <si>
    <t>CAC Scenario:</t>
  </si>
  <si>
    <t>Subscription Revenue ($M), Invest Case</t>
  </si>
  <si>
    <t>Do-Nothing Subscriber Count (millions)</t>
  </si>
  <si>
    <t>Invest Case Subscriber Count (millions)</t>
  </si>
  <si>
    <t>Incremental Subscriber Count (millions)</t>
  </si>
  <si>
    <r>
      <t xml:space="preserve">Year-over-Year </t>
    </r>
    <r>
      <rPr>
        <b/>
        <sz val="11"/>
        <color theme="1"/>
        <rFont val="Aptos Narrow"/>
        <family val="2"/>
        <scheme val="minor"/>
      </rPr>
      <t>New</t>
    </r>
    <r>
      <rPr>
        <sz val="11"/>
        <color theme="1"/>
        <rFont val="Aptos Narrow"/>
        <family val="2"/>
        <scheme val="minor"/>
      </rPr>
      <t xml:space="preserve"> Incremental Subscribers (millions)</t>
    </r>
  </si>
  <si>
    <t>CAC Cost ($M)</t>
  </si>
  <si>
    <t>New-Generation Subscriber Attach Rate</t>
  </si>
  <si>
    <t>Softest assumption in the model — two steps removed from any disclosed figure. Loosely bounded by the real 60% HP+-eligible-shipment figure (2023) as a ceiling on connectivity-capable buyers; not derived from a disclosed conversion rate.</t>
  </si>
  <si>
    <t>Combined Scenario — Integrated Hardware + Subscription Strategy</t>
  </si>
  <si>
    <t>New-Generation Attach Effect</t>
  </si>
  <si>
    <t>Incremental Hardware Revenue ($M), from Option A</t>
  </si>
  <si>
    <t>Attach Revenue ($M)</t>
  </si>
  <si>
    <t>Attach EBIT ($M)</t>
  </si>
  <si>
    <t>PV of Attach EBIT ($M)</t>
  </si>
  <si>
    <t>Attach Effect NPV ($M)</t>
  </si>
  <si>
    <t>Total Combined Scenario NPV</t>
  </si>
  <si>
    <t>Total Combined Scenario NPV ($M)</t>
  </si>
  <si>
    <t>Note: this total is a simple sum of independently-verified components, not a fully-integrated model — it does not net out potential overlap between Option A's hardware-driven attach and Option B's targeted marketing reaching some of the same eventual converts. Shown as a directional "what funding all three efforts together could plausibly deliver" figure, not a precision estimate.</t>
  </si>
  <si>
    <t>Base/Base NPV Reference (fixed snapshot, for grid intercept only)</t>
  </si>
  <si>
    <t>Intercept (from Base/Base NPV Reference)</t>
  </si>
  <si>
    <t>Derived from B47, B48, and the fixed B49 reference — deliberately independent of the live scenario toggles, so the grid stays correct regardless of toggle position.</t>
  </si>
  <si>
    <t>Sensitivity Analysis — Growth Acceleration × CAC per Subscriber</t>
  </si>
  <si>
    <t>Portfolio Comparison — HP Print Franchise Options</t>
  </si>
  <si>
    <t>Financial Summary</t>
  </si>
  <si>
    <t>Worst Case</t>
  </si>
  <si>
    <t>Base Case</t>
  </si>
  <si>
    <t>Best Case</t>
  </si>
  <si>
    <t>Combined Scenario (A + B + Attach Effect)</t>
  </si>
  <si>
    <t>Note: Fixed reference values sourced from Option_A!/Option_B!/Combined_Scenario!'s verified NPV cells — typed, not live-linked, to keep this summary stable regardless of toggle position on the option tabs.</t>
  </si>
  <si>
    <t>Market Attractiveness</t>
  </si>
  <si>
    <t>Opportunity size</t>
  </si>
  <si>
    <t>Growth trajectory</t>
  </si>
  <si>
    <t>Competitive intensity</t>
  </si>
  <si>
    <t>Structural durability</t>
  </si>
  <si>
    <t>Right-to-Win</t>
  </si>
  <si>
    <t>Fit with existing capabilities</t>
  </si>
  <si>
    <t>Execution complexity</t>
  </si>
  <si>
    <t>Time-to-impact</t>
  </si>
  <si>
    <t>Cannibalization/channel risk</t>
  </si>
  <si>
    <t>High</t>
  </si>
  <si>
    <t>Low</t>
  </si>
  <si>
    <t>Med</t>
  </si>
  <si>
    <t>Low-Med</t>
  </si>
  <si>
    <t>Touches the entire $16.8B Printing segment revenue base (hardware + all supplies)</t>
  </si>
  <si>
    <t>Generic/compatible cartridge and big-tank competition, named directly in HP's own 10-K</t>
  </si>
  <si>
    <t>Subscription-model competition exists but is less commoditized than cartridge price competition</t>
  </si>
  <si>
    <t>HP has an established, repeatable NPI/hardware-launch capability</t>
  </si>
  <si>
    <t>Instant Ink billing/subscription infrastructure already operating at scale (13M+ subscribers)</t>
  </si>
  <si>
    <t>Large program (R&amp;D, tooling, launch) but a well-trodden internal process</t>
  </si>
  <si>
    <t>Marketing push, no new hardware or manufacturing required</t>
  </si>
  <si>
    <t>A marketing campaign can launch quickly, no multi-year cycle required</t>
  </si>
  <si>
    <t>Standard refresh cycle, expected replacement, not an unusual cannibalization risk</t>
  </si>
  <si>
    <t>Criterion</t>
  </si>
  <si>
    <t>Option A Rating</t>
  </si>
  <si>
    <t>Option A Rationale</t>
  </si>
  <si>
    <t>Option B Rating</t>
  </si>
  <si>
    <t>Option B Rationale</t>
  </si>
  <si>
    <t>Targets the subscription slice of the Supplies base — modeled at ~10% in this project (Cover_Assumptions row 38), an internally triangulated estimate, not an HP-disclosed figure</t>
  </si>
  <si>
    <t>Segment revenue declining ~3–4%/yr per FY25 10-K; no organic tailwind</t>
  </si>
  <si>
    <t>Real disclosed subscriber growth (~7–9%/yr organic, per HP management commentary), positive momentum against an otherwise-declining segment</t>
  </si>
  <si>
    <t>Aftermarket edge fades again as the newly-launched fleet itself ages toward the same decay curve — the benefit resets rather than compounds, eroding on a schedule regardless of launch execution</t>
  </si>
  <si>
    <t>Conversion opportunity doesn't decay on a comparable schedule; a 2020 HP investor filing showed &gt;90% retention among Instant Ink subscribers (dated data, FY16–19, but a real directional signal of durability once converted)</t>
  </si>
  <si>
    <t>NPI cycles require real planning/shipping time before any benefit is realized</t>
  </si>
  <si>
    <t>Med-High</t>
  </si>
  <si>
    <t>Converting a transactional buyer reduces near-term one-off cartridge revenue — and critically, the customers most attractive to target (high-usage, high-loyalty transactional buyers) are also the customers most valuable to Instant Ink, meaning the best acquisition targets are also the highest-value transactional revenue being given up</t>
  </si>
  <si>
    <t>Sequencing Recommendation</t>
  </si>
  <si>
    <t>Alternatives Considered, Not Modeled</t>
  </si>
  <si>
    <t>Fund both options, coordinated rather than run independently. Option A carries the larger base-case opportunity (~5x Option B's) but a genuinely negative worst case, and its aftermarket edge decays on its own clock as the refreshed fleet ages, resetting rather than compounding. Option B offers a materially safer downside and durable, non-decaying value once converted, but a smaller absolute ceiling on its own. The stronger finding, though, isn't which one to prioritize — it's that designing the subscription push to run in tandem with the hardware launch, rather than as a disconnected campaign, captures real additional value (~$47.3M in this model) that neither option delivers funded alone. The recommendation is to fund both, with Option B's marketing/enrollment strategy deliberately built around Option A's launch timeline rather than scheduled independently.</t>
  </si>
  <si>
    <t>Instant Ink-only printer SKU</t>
  </si>
  <si>
    <t>Ink tank printer launch in developed markets</t>
  </si>
  <si>
    <t>A subscription-only hardware form factor was one of several concepts explored in HP's product strategy discussions during my tenure. Not modeled in this project.</t>
  </si>
  <si>
    <t>Cannibalization risk against the traditional cartridge model was a live strategic question at HP. Could function as either an alternative or complementary lever to Options A/B; not modeled in this project.</t>
  </si>
  <si>
    <t>Combined Scenario - Locked Assumptions</t>
  </si>
  <si>
    <t>Note: potential overlap exists between this attach effect (Option A's new-generation hardware buyers converting to subscription) and Option B's targeted marketing push reaching some of the same eventual converts. Total Combined Scenario NPV is a simple, un-netted sum of independently-verified components — a directional "what funding all three together could plausibly deliver" figure, not a precision estimate netting out that overlap.</t>
  </si>
  <si>
    <t>Scope limitation: Option A's economics are presented at full Printing-segment scale (all product lines, all generations, consumer and commercial combined). A real single-generation launch decision represents some fraction of this that HP does not publicly disclose and this model does not estimate. Figures here should be read as a ceiling case for a segment-wide refresh posture, not the literal economics of one product launch. Option B is scoped to the global consumer/home segment specifically.</t>
  </si>
  <si>
    <t>⚠ SCOPE LIMITATION: Option A's economics are presented at full Printing-segment scale (all product lines, all generations, consumer and commercial combined). A real single-generation launch decision represents some fraction of this that HP does not publicly disclose and this model does not estimate. Figures here should be read as a ceiling case for a segment-wide refresh posture, not the literal economics of one product launch. Option B is scoped to the global consumer/home segment specifically.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</si>
</sst>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164" formatCode="0.0%"/>
    <numFmt numFmtId="165" formatCode="&quot;$&quot;#,##0.0"/>
    <numFmt numFmtId="166" formatCode="&quot;$&quot;#,##0"/>
    <numFmt numFmtId="167" formatCode="0.0"/>
    <numFmt numFmtId="168" formatCode="&quot;$&quot;#,##0.00"/>
    <numFmt numFmtId="169" formatCode="0.0000"/>
    <numFmt numFmtId="170" formatCode=";;;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70C0"/>
      <name val="Aptos Narrow"/>
      <family val="2"/>
      <scheme val="minor"/>
    </font>
    <font>
      <i/>
      <sz val="11"/>
      <color theme="2" tint="-0.499984740745262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 Unicode MS"/>
    </font>
    <font>
      <i/>
      <sz val="10"/>
      <color theme="2" tint="-0.499984740745262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51">
    <xf numFmtId="0" fontId="0" fillId="0" borderId="0" xfId="0"/>
    <xf numFmtId="0" fontId="3" fillId="0" borderId="0" xfId="0" applyFont="1"/>
    <xf numFmtId="164" fontId="6" fillId="0" borderId="0" xfId="1" applyNumberFormat="1" applyFont="1"/>
    <xf numFmtId="0" fontId="7" fillId="0" borderId="0" xfId="0" applyFont="1"/>
    <xf numFmtId="49" fontId="6" fillId="0" borderId="0" xfId="0" applyNumberFormat="1" applyFont="1"/>
    <xf numFmtId="0" fontId="2" fillId="0" borderId="0" xfId="0" applyFont="1"/>
    <xf numFmtId="165" fontId="6" fillId="0" borderId="0" xfId="0" applyNumberFormat="1" applyFont="1"/>
    <xf numFmtId="164" fontId="0" fillId="0" borderId="0" xfId="1" applyNumberFormat="1" applyFont="1"/>
    <xf numFmtId="0" fontId="4" fillId="2" borderId="0" xfId="0" applyFont="1" applyFill="1"/>
    <xf numFmtId="0" fontId="0" fillId="2" borderId="0" xfId="0" applyFill="1"/>
    <xf numFmtId="166" fontId="6" fillId="0" borderId="0" xfId="1" applyNumberFormat="1" applyFont="1"/>
    <xf numFmtId="166" fontId="6" fillId="0" borderId="0" xfId="0" applyNumberFormat="1" applyFont="1"/>
    <xf numFmtId="3" fontId="6" fillId="0" borderId="0" xfId="1" applyNumberFormat="1" applyFont="1"/>
    <xf numFmtId="167" fontId="0" fillId="0" borderId="0" xfId="0" applyNumberFormat="1"/>
    <xf numFmtId="165" fontId="5" fillId="0" borderId="0" xfId="1" applyNumberFormat="1" applyFont="1"/>
    <xf numFmtId="165" fontId="0" fillId="0" borderId="0" xfId="0" applyNumberFormat="1"/>
    <xf numFmtId="0" fontId="8" fillId="0" borderId="0" xfId="0" applyFont="1"/>
    <xf numFmtId="166" fontId="0" fillId="0" borderId="0" xfId="0" applyNumberFormat="1"/>
    <xf numFmtId="0" fontId="4" fillId="3" borderId="0" xfId="0" applyFont="1" applyFill="1"/>
    <xf numFmtId="0" fontId="0" fillId="3" borderId="0" xfId="0" applyFill="1"/>
    <xf numFmtId="168" fontId="0" fillId="0" borderId="0" xfId="0" applyNumberFormat="1"/>
    <xf numFmtId="44" fontId="0" fillId="0" borderId="0" xfId="2" applyFont="1"/>
    <xf numFmtId="165" fontId="0" fillId="0" borderId="1" xfId="0" applyNumberFormat="1" applyBorder="1"/>
    <xf numFmtId="10" fontId="6" fillId="0" borderId="0" xfId="0" applyNumberFormat="1" applyFont="1"/>
    <xf numFmtId="166" fontId="6" fillId="0" borderId="0" xfId="2" applyNumberFormat="1" applyFont="1"/>
    <xf numFmtId="164" fontId="9" fillId="0" borderId="0" xfId="1" applyNumberFormat="1" applyFont="1"/>
    <xf numFmtId="166" fontId="9" fillId="0" borderId="0" xfId="0" applyNumberFormat="1" applyFont="1"/>
    <xf numFmtId="0" fontId="9" fillId="0" borderId="0" xfId="0" applyFont="1"/>
    <xf numFmtId="167" fontId="9" fillId="0" borderId="0" xfId="0" applyNumberFormat="1" applyFont="1"/>
    <xf numFmtId="165" fontId="9" fillId="0" borderId="0" xfId="0" applyNumberFormat="1" applyFont="1"/>
    <xf numFmtId="169" fontId="5" fillId="0" borderId="0" xfId="0" applyNumberFormat="1" applyFont="1"/>
    <xf numFmtId="2" fontId="0" fillId="0" borderId="0" xfId="0" applyNumberFormat="1"/>
    <xf numFmtId="1" fontId="9" fillId="0" borderId="0" xfId="0" applyNumberFormat="1" applyFont="1"/>
    <xf numFmtId="166" fontId="5" fillId="0" borderId="0" xfId="0" applyNumberFormat="1" applyFont="1"/>
    <xf numFmtId="166" fontId="9" fillId="0" borderId="0" xfId="1" applyNumberFormat="1" applyFont="1"/>
    <xf numFmtId="167" fontId="5" fillId="0" borderId="0" xfId="0" applyNumberFormat="1" applyFont="1"/>
    <xf numFmtId="0" fontId="5" fillId="0" borderId="0" xfId="0" applyFont="1"/>
    <xf numFmtId="2" fontId="9" fillId="0" borderId="0" xfId="0" applyNumberFormat="1" applyFont="1"/>
    <xf numFmtId="165" fontId="0" fillId="0" borderId="2" xfId="0" applyNumberFormat="1" applyBorder="1"/>
    <xf numFmtId="0" fontId="7" fillId="0" borderId="0" xfId="0" applyFont="1" applyAlignment="1">
      <alignment wrapText="1"/>
    </xf>
    <xf numFmtId="0" fontId="11" fillId="0" borderId="0" xfId="0" applyFont="1"/>
    <xf numFmtId="0" fontId="12" fillId="0" borderId="0" xfId="0" applyFont="1"/>
    <xf numFmtId="9" fontId="6" fillId="0" borderId="0" xfId="0" applyNumberFormat="1" applyFont="1"/>
    <xf numFmtId="168" fontId="6" fillId="0" borderId="0" xfId="0" applyNumberFormat="1" applyFont="1"/>
    <xf numFmtId="170" fontId="0" fillId="0" borderId="0" xfId="0" applyNumberFormat="1"/>
    <xf numFmtId="165" fontId="9" fillId="0" borderId="1" xfId="0" applyNumberFormat="1" applyFont="1" applyBorder="1"/>
    <xf numFmtId="0" fontId="0" fillId="0" borderId="0" xfId="0" applyAlignment="1">
      <alignment vertical="top" wrapText="1"/>
    </xf>
    <xf numFmtId="2" fontId="0" fillId="3" borderId="0" xfId="0" applyNumberFormat="1" applyFill="1"/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 vertical="top" wrapText="1"/>
    </xf>
    <xf numFmtId="0" fontId="7" fillId="4" borderId="0" xfId="0" applyFont="1" applyFill="1" applyAlignment="1">
      <alignment horizontal="left" wrapTex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A33E-D5E3-4AC1-ADB2-1EA705A0BB7B}">
  <dimension ref="A1:C46"/>
  <sheetViews>
    <sheetView tabSelected="1" topLeftCell="A9" workbookViewId="0">
      <selection activeCell="A28" sqref="A28:C28"/>
    </sheetView>
  </sheetViews>
  <sheetFormatPr defaultRowHeight="14.4"/>
  <cols>
    <col min="1" max="1" width="44.44140625" customWidth="1"/>
    <col min="2" max="2" width="9.109375" bestFit="1" customWidth="1"/>
    <col min="3" max="3" width="86.21875" customWidth="1"/>
  </cols>
  <sheetData>
    <row r="1" spans="1:3" ht="18">
      <c r="A1" s="1" t="s">
        <v>5</v>
      </c>
    </row>
    <row r="3" spans="1:3" ht="15.6">
      <c r="A3" s="8" t="s">
        <v>0</v>
      </c>
      <c r="B3" s="9"/>
      <c r="C3" s="9"/>
    </row>
    <row r="4" spans="1:3">
      <c r="A4" t="s">
        <v>1</v>
      </c>
      <c r="B4" s="2">
        <v>0.08</v>
      </c>
      <c r="C4" s="3" t="s">
        <v>56</v>
      </c>
    </row>
    <row r="5" spans="1:3">
      <c r="A5" t="s">
        <v>2</v>
      </c>
      <c r="B5" s="4">
        <v>2027</v>
      </c>
    </row>
    <row r="6" spans="1:3">
      <c r="A6" t="s">
        <v>3</v>
      </c>
      <c r="B6" s="4">
        <v>2031</v>
      </c>
    </row>
    <row r="7" spans="1:3">
      <c r="A7" t="s">
        <v>4</v>
      </c>
      <c r="B7">
        <f>B6-B5+1</f>
        <v>5</v>
      </c>
    </row>
    <row r="9" spans="1:3" ht="15.6">
      <c r="A9" s="8" t="s">
        <v>6</v>
      </c>
      <c r="B9" s="9"/>
      <c r="C9" s="9"/>
    </row>
    <row r="10" spans="1:3">
      <c r="A10" t="s">
        <v>7</v>
      </c>
      <c r="B10" s="6">
        <v>55.3</v>
      </c>
      <c r="C10" s="3" t="s">
        <v>8</v>
      </c>
    </row>
    <row r="11" spans="1:3">
      <c r="A11" t="s">
        <v>9</v>
      </c>
      <c r="B11" s="6">
        <v>16.8</v>
      </c>
      <c r="C11" s="3" t="s">
        <v>10</v>
      </c>
    </row>
    <row r="12" spans="1:3">
      <c r="A12" t="s">
        <v>11</v>
      </c>
      <c r="B12" s="7">
        <f>AVERAGE(19%,19.5%,17.3%,18.9%)</f>
        <v>0.18675</v>
      </c>
      <c r="C12" s="3" t="s">
        <v>12</v>
      </c>
    </row>
    <row r="13" spans="1:3">
      <c r="A13" t="s">
        <v>13</v>
      </c>
      <c r="B13" s="2">
        <v>-3.4000000000000002E-2</v>
      </c>
      <c r="C13" s="3" t="s">
        <v>14</v>
      </c>
    </row>
    <row r="14" spans="1:3">
      <c r="A14" t="s">
        <v>15</v>
      </c>
      <c r="B14" s="2">
        <v>-4.2000000000000003E-2</v>
      </c>
      <c r="C14" s="3" t="s">
        <v>16</v>
      </c>
    </row>
    <row r="15" spans="1:3">
      <c r="A15" t="s">
        <v>17</v>
      </c>
      <c r="B15" s="2">
        <v>-1.4999999999999999E-2</v>
      </c>
      <c r="C15" s="3" t="s">
        <v>16</v>
      </c>
    </row>
    <row r="17" spans="1:3" ht="15.6">
      <c r="A17" s="8" t="s">
        <v>18</v>
      </c>
      <c r="B17" s="9"/>
      <c r="C17" s="9"/>
    </row>
    <row r="18" spans="1:3">
      <c r="A18" t="s">
        <v>19</v>
      </c>
      <c r="B18" s="2">
        <v>0.04</v>
      </c>
      <c r="C18" s="3" t="s">
        <v>20</v>
      </c>
    </row>
    <row r="19" spans="1:3">
      <c r="A19" t="s">
        <v>21</v>
      </c>
      <c r="B19" s="2">
        <v>0.28000000000000003</v>
      </c>
      <c r="C19" s="3" t="s">
        <v>22</v>
      </c>
    </row>
    <row r="20" spans="1:3">
      <c r="A20" t="s">
        <v>57</v>
      </c>
      <c r="B20" s="10">
        <v>150</v>
      </c>
    </row>
    <row r="21" spans="1:3">
      <c r="A21" t="s">
        <v>23</v>
      </c>
      <c r="B21" s="11">
        <v>200</v>
      </c>
    </row>
    <row r="22" spans="1:3">
      <c r="A22" t="s">
        <v>58</v>
      </c>
      <c r="B22" s="11">
        <v>300</v>
      </c>
      <c r="C22" s="3" t="s">
        <v>24</v>
      </c>
    </row>
    <row r="23" spans="1:3">
      <c r="A23" t="s">
        <v>25</v>
      </c>
      <c r="B23" s="2">
        <v>1.4999999999999999E-2</v>
      </c>
    </row>
    <row r="24" spans="1:3">
      <c r="A24" t="s">
        <v>26</v>
      </c>
      <c r="B24" s="2">
        <v>3.5000000000000003E-2</v>
      </c>
    </row>
    <row r="25" spans="1:3">
      <c r="A25" t="s">
        <v>27</v>
      </c>
      <c r="B25" s="2">
        <v>6.5000000000000002E-2</v>
      </c>
      <c r="C25" s="3" t="s">
        <v>28</v>
      </c>
    </row>
    <row r="26" spans="1:3">
      <c r="A26" t="s">
        <v>48</v>
      </c>
      <c r="B26" s="2">
        <v>0.35</v>
      </c>
      <c r="C26" s="3" t="s">
        <v>50</v>
      </c>
    </row>
    <row r="27" spans="1:3">
      <c r="A27" t="s">
        <v>49</v>
      </c>
      <c r="B27" s="14">
        <f>B11*B26</f>
        <v>5.88</v>
      </c>
      <c r="C27" s="3"/>
    </row>
    <row r="28" spans="1:3" ht="59.4" customHeight="1">
      <c r="A28" s="48" t="s">
        <v>172</v>
      </c>
      <c r="B28" s="48"/>
      <c r="C28" s="48"/>
    </row>
    <row r="30" spans="1:3" ht="15.6">
      <c r="A30" s="8" t="s">
        <v>29</v>
      </c>
      <c r="B30" s="9"/>
      <c r="C30" s="9"/>
    </row>
    <row r="31" spans="1:3">
      <c r="A31" t="s">
        <v>30</v>
      </c>
      <c r="B31" s="12">
        <v>13</v>
      </c>
      <c r="C31" s="3" t="s">
        <v>31</v>
      </c>
    </row>
    <row r="32" spans="1:3">
      <c r="A32" t="s">
        <v>32</v>
      </c>
      <c r="B32" s="2">
        <v>7.0000000000000007E-2</v>
      </c>
      <c r="C32" s="3" t="s">
        <v>33</v>
      </c>
    </row>
    <row r="33" spans="1:3">
      <c r="A33" t="s">
        <v>91</v>
      </c>
      <c r="B33" s="10">
        <v>20</v>
      </c>
      <c r="C33" s="48" t="s">
        <v>94</v>
      </c>
    </row>
    <row r="34" spans="1:3">
      <c r="A34" t="s">
        <v>92</v>
      </c>
      <c r="B34" s="10">
        <v>40</v>
      </c>
      <c r="C34" s="48"/>
    </row>
    <row r="35" spans="1:3">
      <c r="A35" t="s">
        <v>93</v>
      </c>
      <c r="B35" s="10">
        <v>60</v>
      </c>
      <c r="C35" s="48"/>
    </row>
    <row r="36" spans="1:3">
      <c r="A36" t="s">
        <v>34</v>
      </c>
      <c r="B36" s="2">
        <v>0.02</v>
      </c>
    </row>
    <row r="37" spans="1:3">
      <c r="A37" t="s">
        <v>35</v>
      </c>
      <c r="B37" s="2">
        <v>0.04</v>
      </c>
    </row>
    <row r="38" spans="1:3">
      <c r="A38" t="s">
        <v>36</v>
      </c>
      <c r="B38" s="2">
        <v>0.08</v>
      </c>
      <c r="C38" s="3" t="s">
        <v>37</v>
      </c>
    </row>
    <row r="39" spans="1:3">
      <c r="A39" t="s">
        <v>80</v>
      </c>
      <c r="B39" s="2">
        <v>0.1</v>
      </c>
      <c r="C39" s="3" t="s">
        <v>81</v>
      </c>
    </row>
    <row r="40" spans="1:3">
      <c r="A40" t="s">
        <v>82</v>
      </c>
      <c r="B40" s="7">
        <f>(((1+Cover_Assumptions!$B$13)-Cover_Assumptions!$B$39*(1+Cover_Assumptions!$B$32))/(1-Cover_Assumptions!$B$39))-1</f>
        <v>-4.5555555555555571E-2</v>
      </c>
      <c r="C40" s="3" t="s">
        <v>83</v>
      </c>
    </row>
    <row r="41" spans="1:3">
      <c r="A41" t="s">
        <v>95</v>
      </c>
      <c r="B41" s="13">
        <f>B31*(1+B32)^2</f>
        <v>14.883700000000001</v>
      </c>
    </row>
    <row r="42" spans="1:3" ht="58.2" customHeight="1">
      <c r="A42" s="49" t="s">
        <v>96</v>
      </c>
      <c r="B42" s="49"/>
      <c r="C42" s="49"/>
    </row>
    <row r="43" spans="1:3">
      <c r="B43" s="31"/>
    </row>
    <row r="44" spans="1:3" ht="15.6">
      <c r="A44" s="18" t="s">
        <v>170</v>
      </c>
      <c r="B44" s="47"/>
      <c r="C44" s="19"/>
    </row>
    <row r="45" spans="1:3">
      <c r="A45" t="s">
        <v>104</v>
      </c>
      <c r="B45" s="7">
        <v>0.15</v>
      </c>
      <c r="C45" s="3" t="s">
        <v>105</v>
      </c>
    </row>
    <row r="46" spans="1:3" ht="45" customHeight="1">
      <c r="A46" s="49" t="s">
        <v>171</v>
      </c>
      <c r="B46" s="49"/>
      <c r="C46" s="49"/>
    </row>
  </sheetData>
  <mergeCells count="4">
    <mergeCell ref="C33:C35"/>
    <mergeCell ref="A42:C42"/>
    <mergeCell ref="A46:C46"/>
    <mergeCell ref="A28:C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F264-7164-4DB0-AA59-7137C502C525}">
  <dimension ref="A1:Q68"/>
  <sheetViews>
    <sheetView workbookViewId="0">
      <selection activeCell="S37" sqref="S37"/>
    </sheetView>
  </sheetViews>
  <sheetFormatPr defaultRowHeight="14.4"/>
  <cols>
    <col min="1" max="1" width="54.77734375" customWidth="1"/>
    <col min="2" max="2" width="9.21875" bestFit="1" customWidth="1"/>
    <col min="3" max="6" width="9.109375" bestFit="1" customWidth="1"/>
  </cols>
  <sheetData>
    <row r="1" spans="1:6" ht="18">
      <c r="A1" s="1" t="s">
        <v>38</v>
      </c>
    </row>
    <row r="2" spans="1:6">
      <c r="A2" t="s">
        <v>59</v>
      </c>
      <c r="B2" s="16" t="s">
        <v>61</v>
      </c>
      <c r="C2" s="25">
        <f>CHOOSE(MATCH($B$2,{"Downside","Base","Upside"},0),Cover_Assumptions!$B$23,Cover_Assumptions!$B$24,Cover_Assumptions!$B$25)</f>
        <v>3.5000000000000003E-2</v>
      </c>
    </row>
    <row r="3" spans="1:6">
      <c r="A3" t="s">
        <v>60</v>
      </c>
      <c r="B3" s="16" t="s">
        <v>61</v>
      </c>
      <c r="C3" s="26">
        <f>CHOOSE(MATCH($B$3,{"Lean","Base","Ambitious"},0),Cover_Assumptions!$B$20,Cover_Assumptions!$B$21,Cover_Assumptions!$B$22)</f>
        <v>200</v>
      </c>
    </row>
    <row r="4" spans="1:6" ht="15.6">
      <c r="A4" s="8" t="s">
        <v>39</v>
      </c>
      <c r="B4" s="9"/>
      <c r="C4" s="9"/>
      <c r="D4" s="9"/>
      <c r="E4" s="9"/>
      <c r="F4" s="9"/>
    </row>
    <row r="5" spans="1:6"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</row>
    <row r="6" spans="1:6">
      <c r="A6" t="s">
        <v>45</v>
      </c>
      <c r="B6" s="27">
        <f>100*(1+Cover_Assumptions!$B$14)</f>
        <v>95.8</v>
      </c>
      <c r="C6" s="28">
        <f>B6*(1+Cover_Assumptions!$B$14)</f>
        <v>91.776399999999995</v>
      </c>
      <c r="D6" s="28">
        <f>C6*(1+Cover_Assumptions!$B$14)</f>
        <v>87.921791199999987</v>
      </c>
      <c r="E6" s="28">
        <f>D6*(1+Cover_Assumptions!$B$14)</f>
        <v>84.22907596959999</v>
      </c>
      <c r="F6" s="28">
        <f>E6*(1+Cover_Assumptions!$B$14)</f>
        <v>80.691454778876789</v>
      </c>
    </row>
    <row r="7" spans="1:6">
      <c r="A7" t="s">
        <v>46</v>
      </c>
      <c r="B7" s="27">
        <f>100*(1+Cover_Assumptions!$B$15)</f>
        <v>98.5</v>
      </c>
      <c r="C7" s="28">
        <f>B7*(1+Cover_Assumptions!$B$15)</f>
        <v>97.022499999999994</v>
      </c>
      <c r="D7" s="28">
        <f>C7*(1+Cover_Assumptions!$B$15)</f>
        <v>95.567162499999995</v>
      </c>
      <c r="E7" s="28">
        <f>D7*(1+Cover_Assumptions!$B$15)</f>
        <v>94.133655062499997</v>
      </c>
      <c r="F7" s="28">
        <f>E7*(1+Cover_Assumptions!$B$15)</f>
        <v>92.721650236562496</v>
      </c>
    </row>
    <row r="8" spans="1:6">
      <c r="A8" t="s">
        <v>47</v>
      </c>
      <c r="B8" s="13">
        <f>B6*B7/100</f>
        <v>94.363</v>
      </c>
      <c r="C8" s="13">
        <f t="shared" ref="C8:F8" si="0">C6*C7/100</f>
        <v>89.043757689999978</v>
      </c>
      <c r="D8" s="13">
        <f t="shared" si="0"/>
        <v>84.024361069014688</v>
      </c>
      <c r="E8" s="13">
        <f t="shared" si="0"/>
        <v>79.287907835554336</v>
      </c>
      <c r="F8" s="13">
        <f t="shared" si="0"/>
        <v>74.818448470864126</v>
      </c>
    </row>
    <row r="10" spans="1:6">
      <c r="A10" t="s">
        <v>51</v>
      </c>
      <c r="B10" s="26">
        <f>Cover_Assumptions!$B$27*1000*(1+Cover_Assumptions!$B$14)*(1+Cover_Assumptions!$B$15)*(B8/100)</f>
        <v>5235.7729521719993</v>
      </c>
      <c r="C10" s="26">
        <f>Cover_Assumptions!$B$27*1000*(1+Cover_Assumptions!$B$14)*(1+Cover_Assumptions!$B$15)*(C8/100)</f>
        <v>4940.6324308580633</v>
      </c>
      <c r="D10" s="26">
        <f>Cover_Assumptions!$B$27*1000*(1+Cover_Assumptions!$B$14)*(1+Cover_Assumptions!$B$15)*(D8/100)</f>
        <v>4662.1289807305939</v>
      </c>
      <c r="E10" s="26">
        <f>Cover_Assumptions!$B$27*1000*(1+Cover_Assumptions!$B$14)*(1+Cover_Assumptions!$B$15)*(E8/100)</f>
        <v>4399.3247700868114</v>
      </c>
      <c r="F10" s="26">
        <f>Cover_Assumptions!$B$27*1000*(1+Cover_Assumptions!$B$14)*(1+Cover_Assumptions!$B$15)*(F8/100)</f>
        <v>4151.334832797017</v>
      </c>
    </row>
    <row r="12" spans="1:6">
      <c r="A12" t="s">
        <v>52</v>
      </c>
      <c r="B12" s="27">
        <f>100*(1+Cover_Assumptions!$B$13)</f>
        <v>96.6</v>
      </c>
      <c r="C12" s="28">
        <f>B12*(1+Cover_Assumptions!$B$13)</f>
        <v>93.315599999999989</v>
      </c>
      <c r="D12" s="28">
        <f>C12*(1+Cover_Assumptions!$B$13)</f>
        <v>90.142869599999983</v>
      </c>
      <c r="E12" s="28">
        <f>D12*(1+Cover_Assumptions!$B$13)</f>
        <v>87.078012033599975</v>
      </c>
      <c r="F12" s="28">
        <f>E12*(1+Cover_Assumptions!$B$13)</f>
        <v>84.117359624457578</v>
      </c>
    </row>
    <row r="14" spans="1:6">
      <c r="A14" t="s">
        <v>53</v>
      </c>
      <c r="B14" s="26">
        <f>(Cover_Assumptions!$B$11*1000-Cover_Assumptions!$B$27*1000)*(1+Cover_Assumptions!$B$13)*(B12/100)</f>
        <v>10190.06352</v>
      </c>
      <c r="C14" s="26">
        <f>(Cover_Assumptions!$B$11*1000-Cover_Assumptions!$B$27*1000)*(1+Cover_Assumptions!$B$13)*(C12/100)</f>
        <v>9843.6013603199972</v>
      </c>
      <c r="D14" s="26">
        <f>(Cover_Assumptions!$B$11*1000-Cover_Assumptions!$B$27*1000)*(1+Cover_Assumptions!$B$13)*(D12/100)</f>
        <v>9508.9189140691178</v>
      </c>
      <c r="E14" s="26">
        <f>(Cover_Assumptions!$B$11*1000-Cover_Assumptions!$B$27*1000)*(1+Cover_Assumptions!$B$13)*(E12/100)</f>
        <v>9185.6156709907664</v>
      </c>
      <c r="F14" s="26">
        <f>(Cover_Assumptions!$B$11*1000-Cover_Assumptions!$B$27*1000)*(1+Cover_Assumptions!$B$13)*(F12/100)</f>
        <v>8873.3047381770812</v>
      </c>
    </row>
    <row r="15" spans="1:6">
      <c r="A15" t="s">
        <v>54</v>
      </c>
      <c r="B15" s="17">
        <f>B10+B14</f>
        <v>15425.836472171999</v>
      </c>
      <c r="C15" s="17">
        <f t="shared" ref="C15:F15" si="1">C10+C14</f>
        <v>14784.23379117806</v>
      </c>
      <c r="D15" s="17">
        <f t="shared" si="1"/>
        <v>14171.047894799711</v>
      </c>
      <c r="E15" s="17">
        <f t="shared" si="1"/>
        <v>13584.940441077579</v>
      </c>
      <c r="F15" s="17">
        <f t="shared" si="1"/>
        <v>13024.639570974097</v>
      </c>
    </row>
    <row r="16" spans="1:6">
      <c r="A16" t="s">
        <v>55</v>
      </c>
      <c r="B16" s="26">
        <f>B10*Cover_Assumptions!$B$18+B14*Cover_Assumptions!$B$19</f>
        <v>3062.6487036868803</v>
      </c>
      <c r="C16" s="26">
        <f>C10*Cover_Assumptions!$B$18+C14*Cover_Assumptions!$B$19</f>
        <v>2953.8336781239223</v>
      </c>
      <c r="D16" s="26">
        <f>D10*Cover_Assumptions!$B$18+D14*Cover_Assumptions!$B$19</f>
        <v>2848.982455168577</v>
      </c>
      <c r="E16" s="26">
        <f>E10*Cover_Assumptions!$B$18+E14*Cover_Assumptions!$B$19</f>
        <v>2747.9453786808872</v>
      </c>
      <c r="F16" s="26">
        <f>F10*Cover_Assumptions!$B$18+F14*Cover_Assumptions!$B$19</f>
        <v>2650.5787200014638</v>
      </c>
    </row>
    <row r="18" spans="1:6" ht="15.6">
      <c r="A18" s="18" t="s">
        <v>62</v>
      </c>
      <c r="B18" s="19"/>
      <c r="C18" s="19"/>
      <c r="D18" s="19"/>
      <c r="E18" s="19"/>
      <c r="F18" s="19"/>
    </row>
    <row r="19" spans="1:6">
      <c r="B19" s="5" t="s">
        <v>40</v>
      </c>
      <c r="C19" s="5" t="s">
        <v>41</v>
      </c>
      <c r="D19" s="5" t="s">
        <v>42</v>
      </c>
      <c r="E19" s="5" t="s">
        <v>43</v>
      </c>
      <c r="F19" s="5" t="s">
        <v>44</v>
      </c>
    </row>
    <row r="20" spans="1:6">
      <c r="A20" t="s">
        <v>63</v>
      </c>
      <c r="B20" s="27">
        <f>B6/(1+Cover_Assumptions!$B$14)</f>
        <v>100</v>
      </c>
      <c r="C20" s="28">
        <f>C6/(1+Cover_Assumptions!$B$14)</f>
        <v>95.8</v>
      </c>
      <c r="D20" s="28">
        <f>D6/(1+Cover_Assumptions!$B$14)</f>
        <v>91.776399999999995</v>
      </c>
      <c r="E20" s="28">
        <f>E6/(1+Cover_Assumptions!$B$14)</f>
        <v>87.921791199999987</v>
      </c>
      <c r="F20" s="28">
        <f>F6/(1+Cover_Assumptions!$B$14)</f>
        <v>84.22907596959999</v>
      </c>
    </row>
    <row r="21" spans="1:6">
      <c r="A21" t="s">
        <v>64</v>
      </c>
      <c r="B21" s="27">
        <f>B7/(1+Cover_Assumptions!$B$15)</f>
        <v>100</v>
      </c>
      <c r="C21" s="28">
        <f>C7/(1+Cover_Assumptions!$B$15)</f>
        <v>98.5</v>
      </c>
      <c r="D21" s="28">
        <f>D7/(1+Cover_Assumptions!$B$15)</f>
        <v>97.022499999999994</v>
      </c>
      <c r="E21" s="28">
        <f>E7/(1+Cover_Assumptions!$B$15)</f>
        <v>95.567162499999995</v>
      </c>
      <c r="F21" s="28">
        <f>F7/(1+Cover_Assumptions!$B$15)</f>
        <v>94.133655062499997</v>
      </c>
    </row>
    <row r="22" spans="1:6">
      <c r="A22" t="s">
        <v>47</v>
      </c>
      <c r="B22">
        <f>B20*B21/100</f>
        <v>100</v>
      </c>
      <c r="C22" s="13">
        <f t="shared" ref="C22:F22" si="2">C20*C21/100</f>
        <v>94.363</v>
      </c>
      <c r="D22" s="13">
        <f t="shared" si="2"/>
        <v>89.043757689999978</v>
      </c>
      <c r="E22" s="13">
        <f t="shared" si="2"/>
        <v>84.024361069014688</v>
      </c>
      <c r="F22" s="13">
        <f t="shared" si="2"/>
        <v>79.287907835554336</v>
      </c>
    </row>
    <row r="24" spans="1:6">
      <c r="A24" t="s">
        <v>51</v>
      </c>
      <c r="B24" s="26">
        <f>Cover_Assumptions!$B$27*1000*(1+Cover_Assumptions!$B$14)*(1+Cover_Assumptions!$B$15)*(B22/100)</f>
        <v>5548.5443999999998</v>
      </c>
      <c r="C24" s="26">
        <f>Cover_Assumptions!$B$27*1000*(1+Cover_Assumptions!$B$14)*(1+Cover_Assumptions!$B$15)*(C22/100)</f>
        <v>5235.7729521719993</v>
      </c>
      <c r="D24" s="26">
        <f>Cover_Assumptions!$B$27*1000*(1+Cover_Assumptions!$B$14)*(1+Cover_Assumptions!$B$15)*(D22/100)</f>
        <v>4940.6324308580633</v>
      </c>
      <c r="E24" s="26">
        <f>Cover_Assumptions!$B$27*1000*(1+Cover_Assumptions!$B$14)*(1+Cover_Assumptions!$B$15)*(E22/100)</f>
        <v>4662.1289807305939</v>
      </c>
      <c r="F24" s="26">
        <f>Cover_Assumptions!$B$27*1000*(1+Cover_Assumptions!$B$14)*(1+Cover_Assumptions!$B$15)*(F22/100)</f>
        <v>4399.3247700868114</v>
      </c>
    </row>
    <row r="26" spans="1:6">
      <c r="A26" t="s">
        <v>65</v>
      </c>
      <c r="B26" s="28">
        <f>B12+($C$2*100)</f>
        <v>100.1</v>
      </c>
      <c r="C26" s="28">
        <f t="shared" ref="C26:F26" si="3">C12+($C$2*100)</f>
        <v>96.815599999999989</v>
      </c>
      <c r="D26" s="28">
        <f t="shared" si="3"/>
        <v>93.642869599999983</v>
      </c>
      <c r="E26" s="28">
        <f t="shared" si="3"/>
        <v>90.578012033599975</v>
      </c>
      <c r="F26" s="28">
        <f t="shared" si="3"/>
        <v>87.617359624457578</v>
      </c>
    </row>
    <row r="28" spans="1:6">
      <c r="A28" t="s">
        <v>53</v>
      </c>
      <c r="B28" s="26">
        <f>(Cover_Assumptions!$B$11*1000-Cover_Assumptions!$B$27*1000)*(1+Cover_Assumptions!$B$13)*(B26/100)</f>
        <v>10559.268719999998</v>
      </c>
      <c r="C28" s="26">
        <f>(Cover_Assumptions!$B$11*1000-Cover_Assumptions!$B$27*1000)*(1+Cover_Assumptions!$B$13)*(C26/100)</f>
        <v>10212.806560319998</v>
      </c>
      <c r="D28" s="26">
        <f>(Cover_Assumptions!$B$11*1000-Cover_Assumptions!$B$27*1000)*(1+Cover_Assumptions!$B$13)*(D26/100)</f>
        <v>9878.1241140691163</v>
      </c>
      <c r="E28" s="26">
        <f>(Cover_Assumptions!$B$11*1000-Cover_Assumptions!$B$27*1000)*(1+Cover_Assumptions!$B$13)*(E26/100)</f>
        <v>9554.8208709907667</v>
      </c>
      <c r="F28" s="26">
        <f>(Cover_Assumptions!$B$11*1000-Cover_Assumptions!$B$27*1000)*(1+Cover_Assumptions!$B$13)*(F26/100)</f>
        <v>9242.5099381770815</v>
      </c>
    </row>
    <row r="29" spans="1:6">
      <c r="A29" t="s">
        <v>54</v>
      </c>
      <c r="B29" s="17">
        <f>B24+B28</f>
        <v>16107.813119999999</v>
      </c>
      <c r="C29" s="17">
        <f t="shared" ref="C29:F29" si="4">C24+C28</f>
        <v>15448.579512491997</v>
      </c>
      <c r="D29" s="17">
        <f t="shared" si="4"/>
        <v>14818.756544927179</v>
      </c>
      <c r="E29" s="17">
        <f t="shared" si="4"/>
        <v>14216.949851721361</v>
      </c>
      <c r="F29" s="17">
        <f t="shared" si="4"/>
        <v>13641.834708263894</v>
      </c>
    </row>
    <row r="30" spans="1:6">
      <c r="A30" t="s">
        <v>55</v>
      </c>
      <c r="B30" s="26">
        <f>B24*Cover_Assumptions!$B$18+B28*Cover_Assumptions!$B$19</f>
        <v>3178.5370175999997</v>
      </c>
      <c r="C30" s="26">
        <f>C24*Cover_Assumptions!$B$18+C28*Cover_Assumptions!$B$19</f>
        <v>3069.0167549764797</v>
      </c>
      <c r="D30" s="26">
        <f>D24*Cover_Assumptions!$B$18+D28*Cover_Assumptions!$B$19</f>
        <v>2963.5000491736755</v>
      </c>
      <c r="E30" s="26">
        <f>E24*Cover_Assumptions!$B$18+E28*Cover_Assumptions!$B$19</f>
        <v>2861.8350031066389</v>
      </c>
      <c r="F30" s="26">
        <f>F24*Cover_Assumptions!$B$18+F28*Cover_Assumptions!$B$19</f>
        <v>2763.8757734930555</v>
      </c>
    </row>
    <row r="31" spans="1:6">
      <c r="A31" t="s">
        <v>66</v>
      </c>
      <c r="B31" s="17">
        <f>-$C$3</f>
        <v>-200</v>
      </c>
      <c r="C31" s="21">
        <v>0</v>
      </c>
      <c r="D31" s="21">
        <v>0</v>
      </c>
      <c r="E31" s="21">
        <v>0</v>
      </c>
      <c r="F31" s="21">
        <v>0</v>
      </c>
    </row>
    <row r="33" spans="1:6">
      <c r="A33" t="s">
        <v>67</v>
      </c>
      <c r="B33" s="15">
        <f>B30+B31</f>
        <v>2978.5370175999997</v>
      </c>
      <c r="C33" s="15">
        <f t="shared" ref="C33:F33" si="5">C30+C31</f>
        <v>3069.0167549764797</v>
      </c>
      <c r="D33" s="15">
        <f t="shared" si="5"/>
        <v>2963.5000491736755</v>
      </c>
      <c r="E33" s="15">
        <f t="shared" si="5"/>
        <v>2861.8350031066389</v>
      </c>
      <c r="F33" s="15">
        <f t="shared" si="5"/>
        <v>2763.8757734930555</v>
      </c>
    </row>
    <row r="35" spans="1:6" ht="15.6">
      <c r="A35" s="18" t="s">
        <v>68</v>
      </c>
      <c r="B35" s="19"/>
      <c r="C35" s="19"/>
      <c r="D35" s="19"/>
      <c r="E35" s="19"/>
      <c r="F35" s="19"/>
    </row>
    <row r="36" spans="1:6">
      <c r="B36" s="5" t="s">
        <v>40</v>
      </c>
      <c r="C36" s="5" t="s">
        <v>41</v>
      </c>
      <c r="D36" s="5" t="s">
        <v>42</v>
      </c>
      <c r="E36" s="5" t="s">
        <v>43</v>
      </c>
      <c r="F36" s="5" t="s">
        <v>44</v>
      </c>
    </row>
    <row r="37" spans="1:6">
      <c r="A37" t="s">
        <v>69</v>
      </c>
      <c r="B37" s="15">
        <f>B33-B16</f>
        <v>-84.111686086880582</v>
      </c>
      <c r="C37" s="15">
        <f t="shared" ref="C37:F37" si="6">C33-C16</f>
        <v>115.18307685255741</v>
      </c>
      <c r="D37" s="15">
        <f t="shared" si="6"/>
        <v>114.51759400509854</v>
      </c>
      <c r="E37" s="15">
        <f t="shared" si="6"/>
        <v>113.88962442575166</v>
      </c>
      <c r="F37" s="15">
        <f t="shared" si="6"/>
        <v>113.29705349159167</v>
      </c>
    </row>
    <row r="39" spans="1:6">
      <c r="A39" t="s">
        <v>70</v>
      </c>
      <c r="B39" s="37">
        <f>1/(1+Cover_Assumptions!$B$4)^(COLUMN()-COLUMN($B$5)+1)</f>
        <v>0.92592592592592582</v>
      </c>
      <c r="C39" s="37">
        <f>1/(1+Cover_Assumptions!$B$4)^(COLUMN()-COLUMN($B$5)+1)</f>
        <v>0.85733882030178321</v>
      </c>
      <c r="D39" s="37">
        <f>1/(1+Cover_Assumptions!$B$4)^(COLUMN()-COLUMN($B$5)+1)</f>
        <v>0.79383224102016958</v>
      </c>
      <c r="E39" s="37">
        <f>1/(1+Cover_Assumptions!$B$4)^(COLUMN()-COLUMN($B$5)+1)</f>
        <v>0.73502985279645328</v>
      </c>
      <c r="F39" s="37">
        <f>1/(1+Cover_Assumptions!$B$4)^(COLUMN()-COLUMN($B$5)+1)</f>
        <v>0.68058319703375303</v>
      </c>
    </row>
    <row r="41" spans="1:6">
      <c r="A41" t="s">
        <v>71</v>
      </c>
      <c r="B41" s="15">
        <f>B37*B39</f>
        <v>-77.881190821185712</v>
      </c>
      <c r="C41" s="15">
        <f t="shared" ref="C41:F41" si="7">C37*C39</f>
        <v>98.750923227501204</v>
      </c>
      <c r="D41" s="15">
        <f t="shared" si="7"/>
        <v>90.90775828530532</v>
      </c>
      <c r="E41" s="15">
        <f t="shared" si="7"/>
        <v>83.712273876703591</v>
      </c>
      <c r="F41" s="15">
        <f t="shared" si="7"/>
        <v>77.108070879811592</v>
      </c>
    </row>
    <row r="42" spans="1:6" ht="15" thickBot="1"/>
    <row r="43" spans="1:6" ht="15" thickBot="1">
      <c r="A43" s="5" t="s">
        <v>72</v>
      </c>
      <c r="B43" s="22">
        <f>SUM(B41:F41)</f>
        <v>272.59783544813598</v>
      </c>
    </row>
    <row r="46" spans="1:6" ht="15.6">
      <c r="A46" s="18" t="s">
        <v>75</v>
      </c>
      <c r="B46" s="19"/>
      <c r="C46" s="19"/>
      <c r="D46" s="19"/>
      <c r="E46" s="19"/>
      <c r="F46" s="19"/>
    </row>
    <row r="47" spans="1:6">
      <c r="A47" t="s">
        <v>73</v>
      </c>
      <c r="B47" s="29">
        <f>Cover_Assumptions!$B$19*((Cover_Assumptions!$B$11*1000-Cover_Assumptions!$B$27*1000)*(1+Cover_Assumptions!$B$13))/100*SUM(B39:F39)</f>
        <v>117.93034462251374</v>
      </c>
    </row>
    <row r="48" spans="1:6">
      <c r="A48" t="s">
        <v>74</v>
      </c>
      <c r="B48" s="30">
        <f>-B39</f>
        <v>-0.92592592592592582</v>
      </c>
    </row>
    <row r="49" spans="1:17">
      <c r="A49" s="40" t="s">
        <v>116</v>
      </c>
      <c r="B49" s="6">
        <v>272.60000000000002</v>
      </c>
    </row>
    <row r="50" spans="1:17">
      <c r="A50" t="s">
        <v>117</v>
      </c>
      <c r="B50" s="20">
        <f>$B$49-$B$47*3.5-$B$48*200</f>
        <v>45.02897900638709</v>
      </c>
      <c r="C50" s="41" t="s">
        <v>118</v>
      </c>
    </row>
    <row r="52" spans="1:17">
      <c r="B52" s="24">
        <v>150</v>
      </c>
      <c r="C52" s="11">
        <f>B52+10</f>
        <v>160</v>
      </c>
      <c r="D52" s="11">
        <f t="shared" ref="D52:Q52" si="8">C52+10</f>
        <v>170</v>
      </c>
      <c r="E52" s="11">
        <f t="shared" si="8"/>
        <v>180</v>
      </c>
      <c r="F52" s="11">
        <f t="shared" si="8"/>
        <v>190</v>
      </c>
      <c r="G52" s="11">
        <f t="shared" si="8"/>
        <v>200</v>
      </c>
      <c r="H52" s="11">
        <f t="shared" si="8"/>
        <v>210</v>
      </c>
      <c r="I52" s="11">
        <f t="shared" si="8"/>
        <v>220</v>
      </c>
      <c r="J52" s="11">
        <f t="shared" si="8"/>
        <v>230</v>
      </c>
      <c r="K52" s="11">
        <f t="shared" si="8"/>
        <v>240</v>
      </c>
      <c r="L52" s="11">
        <f t="shared" si="8"/>
        <v>250</v>
      </c>
      <c r="M52" s="11">
        <f t="shared" si="8"/>
        <v>260</v>
      </c>
      <c r="N52" s="11">
        <f t="shared" si="8"/>
        <v>270</v>
      </c>
      <c r="O52" s="11">
        <f t="shared" si="8"/>
        <v>280</v>
      </c>
      <c r="P52" s="11">
        <f t="shared" si="8"/>
        <v>290</v>
      </c>
      <c r="Q52" s="11">
        <f t="shared" si="8"/>
        <v>300</v>
      </c>
    </row>
    <row r="53" spans="1:17">
      <c r="A53" s="23">
        <v>1.4999999999999999E-2</v>
      </c>
      <c r="B53" s="15">
        <f>$B$50+$B$47*$A53*100+B$52*$B$48</f>
        <v>83.035607051268812</v>
      </c>
      <c r="C53" s="15">
        <f t="shared" ref="C53:Q68" si="9">$B$50+$B$47*$A53*100+C$52*$B$48</f>
        <v>73.776347792009574</v>
      </c>
      <c r="D53" s="15">
        <f t="shared" si="9"/>
        <v>64.517088532750307</v>
      </c>
      <c r="E53" s="15">
        <f t="shared" si="9"/>
        <v>55.257829273491041</v>
      </c>
      <c r="F53" s="15">
        <f t="shared" si="9"/>
        <v>45.998570014231802</v>
      </c>
      <c r="G53" s="15">
        <f t="shared" si="9"/>
        <v>36.739310754972536</v>
      </c>
      <c r="H53" s="15">
        <f t="shared" si="9"/>
        <v>27.480051495713269</v>
      </c>
      <c r="I53" s="15">
        <f t="shared" si="9"/>
        <v>18.220792236454031</v>
      </c>
      <c r="J53" s="15">
        <f t="shared" si="9"/>
        <v>8.9615329771947643</v>
      </c>
      <c r="K53" s="15">
        <f t="shared" si="9"/>
        <v>-0.29772628206450236</v>
      </c>
      <c r="L53" s="15">
        <f t="shared" si="9"/>
        <v>-9.556985541323769</v>
      </c>
      <c r="M53" s="15">
        <f t="shared" si="9"/>
        <v>-18.816244800583007</v>
      </c>
      <c r="N53" s="15">
        <f t="shared" si="9"/>
        <v>-28.075504059842274</v>
      </c>
      <c r="O53" s="15">
        <f t="shared" si="9"/>
        <v>-37.33476331910154</v>
      </c>
      <c r="P53" s="15">
        <f t="shared" si="9"/>
        <v>-46.594022578360779</v>
      </c>
      <c r="Q53" s="15">
        <f t="shared" si="9"/>
        <v>-55.853281837620074</v>
      </c>
    </row>
    <row r="54" spans="1:17">
      <c r="A54" s="23">
        <f>A53+1/300</f>
        <v>1.8333333333333333E-2</v>
      </c>
      <c r="B54" s="15">
        <f t="shared" ref="B54:B68" si="10">$B$50+$B$47*$A54*100+B$52*$B$48</f>
        <v>122.34572192544007</v>
      </c>
      <c r="C54" s="15">
        <f t="shared" si="9"/>
        <v>113.08646266618084</v>
      </c>
      <c r="D54" s="15">
        <f t="shared" si="9"/>
        <v>103.82720340692157</v>
      </c>
      <c r="E54" s="15">
        <f t="shared" si="9"/>
        <v>94.567944147662303</v>
      </c>
      <c r="F54" s="15">
        <f t="shared" si="9"/>
        <v>85.308684888403064</v>
      </c>
      <c r="G54" s="15">
        <f t="shared" si="9"/>
        <v>76.049425629143798</v>
      </c>
      <c r="H54" s="15">
        <f t="shared" si="9"/>
        <v>66.790166369884531</v>
      </c>
      <c r="I54" s="15">
        <f t="shared" si="9"/>
        <v>57.530907110625293</v>
      </c>
      <c r="J54" s="15">
        <f t="shared" si="9"/>
        <v>48.271647851366026</v>
      </c>
      <c r="K54" s="15">
        <f t="shared" si="9"/>
        <v>39.01238859210676</v>
      </c>
      <c r="L54" s="15">
        <f t="shared" si="9"/>
        <v>29.753129332847493</v>
      </c>
      <c r="M54" s="15">
        <f t="shared" si="9"/>
        <v>20.493870073588255</v>
      </c>
      <c r="N54" s="15">
        <f t="shared" si="9"/>
        <v>11.234610814328988</v>
      </c>
      <c r="O54" s="15">
        <f t="shared" si="9"/>
        <v>1.9753515550697216</v>
      </c>
      <c r="P54" s="15">
        <f t="shared" si="9"/>
        <v>-7.2839077041895166</v>
      </c>
      <c r="Q54" s="15">
        <f t="shared" si="9"/>
        <v>-16.543166963448812</v>
      </c>
    </row>
    <row r="55" spans="1:17">
      <c r="A55" s="23">
        <f t="shared" ref="A55:A68" si="11">A54+1/300</f>
        <v>2.1666666666666667E-2</v>
      </c>
      <c r="B55" s="15">
        <f t="shared" si="10"/>
        <v>161.65583679961131</v>
      </c>
      <c r="C55" s="15">
        <f t="shared" si="9"/>
        <v>152.39657754035207</v>
      </c>
      <c r="D55" s="15">
        <f t="shared" si="9"/>
        <v>143.1373182810928</v>
      </c>
      <c r="E55" s="15">
        <f t="shared" si="9"/>
        <v>133.87805902183354</v>
      </c>
      <c r="F55" s="15">
        <f t="shared" si="9"/>
        <v>124.6187997625743</v>
      </c>
      <c r="G55" s="15">
        <f t="shared" si="9"/>
        <v>115.35954050331503</v>
      </c>
      <c r="H55" s="15">
        <f t="shared" si="9"/>
        <v>106.10028124405576</v>
      </c>
      <c r="I55" s="15">
        <f t="shared" si="9"/>
        <v>96.841021984796527</v>
      </c>
      <c r="J55" s="15">
        <f t="shared" si="9"/>
        <v>87.58176272553726</v>
      </c>
      <c r="K55" s="15">
        <f t="shared" si="9"/>
        <v>78.322503466277993</v>
      </c>
      <c r="L55" s="15">
        <f t="shared" si="9"/>
        <v>69.063244207018727</v>
      </c>
      <c r="M55" s="15">
        <f t="shared" si="9"/>
        <v>59.803984947759488</v>
      </c>
      <c r="N55" s="15">
        <f t="shared" si="9"/>
        <v>50.544725688500222</v>
      </c>
      <c r="O55" s="15">
        <f t="shared" si="9"/>
        <v>41.285466429240955</v>
      </c>
      <c r="P55" s="15">
        <f t="shared" si="9"/>
        <v>32.026207169981717</v>
      </c>
      <c r="Q55" s="15">
        <f t="shared" si="9"/>
        <v>22.766947910722422</v>
      </c>
    </row>
    <row r="56" spans="1:17">
      <c r="A56" s="23">
        <f t="shared" si="11"/>
        <v>2.5000000000000001E-2</v>
      </c>
      <c r="B56" s="15">
        <f t="shared" si="10"/>
        <v>200.9659516737826</v>
      </c>
      <c r="C56" s="15">
        <f t="shared" si="9"/>
        <v>191.70669241452336</v>
      </c>
      <c r="D56" s="15">
        <f t="shared" si="9"/>
        <v>182.44743315526409</v>
      </c>
      <c r="E56" s="15">
        <f t="shared" si="9"/>
        <v>173.18817389600483</v>
      </c>
      <c r="F56" s="15">
        <f t="shared" si="9"/>
        <v>163.92891463674559</v>
      </c>
      <c r="G56" s="15">
        <f t="shared" si="9"/>
        <v>154.66965537748632</v>
      </c>
      <c r="H56" s="15">
        <f t="shared" si="9"/>
        <v>145.41039611822706</v>
      </c>
      <c r="I56" s="15">
        <f t="shared" si="9"/>
        <v>136.15113685896782</v>
      </c>
      <c r="J56" s="15">
        <f t="shared" si="9"/>
        <v>126.89187759970855</v>
      </c>
      <c r="K56" s="15">
        <f t="shared" si="9"/>
        <v>117.63261834044928</v>
      </c>
      <c r="L56" s="15">
        <f t="shared" si="9"/>
        <v>108.37335908119002</v>
      </c>
      <c r="M56" s="15">
        <f t="shared" si="9"/>
        <v>99.114099821930779</v>
      </c>
      <c r="N56" s="15">
        <f t="shared" si="9"/>
        <v>89.854840562671512</v>
      </c>
      <c r="O56" s="15">
        <f t="shared" si="9"/>
        <v>80.595581303412246</v>
      </c>
      <c r="P56" s="15">
        <f t="shared" si="9"/>
        <v>71.336322044153007</v>
      </c>
      <c r="Q56" s="15">
        <f t="shared" si="9"/>
        <v>62.077062784893712</v>
      </c>
    </row>
    <row r="57" spans="1:17">
      <c r="A57" s="23">
        <f t="shared" si="11"/>
        <v>2.8333333333333335E-2</v>
      </c>
      <c r="B57" s="15">
        <f t="shared" si="10"/>
        <v>240.27606654795383</v>
      </c>
      <c r="C57" s="15">
        <f t="shared" si="9"/>
        <v>231.01680728869459</v>
      </c>
      <c r="D57" s="15">
        <f t="shared" si="9"/>
        <v>221.75754802943533</v>
      </c>
      <c r="E57" s="15">
        <f t="shared" si="9"/>
        <v>212.49828877017606</v>
      </c>
      <c r="F57" s="15">
        <f t="shared" si="9"/>
        <v>203.23902951091682</v>
      </c>
      <c r="G57" s="15">
        <f t="shared" si="9"/>
        <v>193.97977025165756</v>
      </c>
      <c r="H57" s="15">
        <f t="shared" si="9"/>
        <v>184.72051099239829</v>
      </c>
      <c r="I57" s="15">
        <f t="shared" si="9"/>
        <v>175.46125173313905</v>
      </c>
      <c r="J57" s="15">
        <f t="shared" si="9"/>
        <v>166.20199247387978</v>
      </c>
      <c r="K57" s="15">
        <f t="shared" si="9"/>
        <v>156.94273321462052</v>
      </c>
      <c r="L57" s="15">
        <f t="shared" si="9"/>
        <v>147.68347395536125</v>
      </c>
      <c r="M57" s="15">
        <f t="shared" si="9"/>
        <v>138.42421469610201</v>
      </c>
      <c r="N57" s="15">
        <f t="shared" si="9"/>
        <v>129.16495543684275</v>
      </c>
      <c r="O57" s="15">
        <f t="shared" si="9"/>
        <v>119.90569617758348</v>
      </c>
      <c r="P57" s="15">
        <f t="shared" si="9"/>
        <v>110.64643691832424</v>
      </c>
      <c r="Q57" s="15">
        <f t="shared" si="9"/>
        <v>101.38717765906495</v>
      </c>
    </row>
    <row r="58" spans="1:17" ht="15" thickBot="1">
      <c r="A58" s="23">
        <f t="shared" si="11"/>
        <v>3.1666666666666669E-2</v>
      </c>
      <c r="B58" s="15">
        <f t="shared" si="10"/>
        <v>279.58618142212504</v>
      </c>
      <c r="C58" s="15">
        <f t="shared" si="9"/>
        <v>270.3269221628658</v>
      </c>
      <c r="D58" s="15">
        <f t="shared" si="9"/>
        <v>261.06766290360656</v>
      </c>
      <c r="E58" s="15">
        <f t="shared" si="9"/>
        <v>251.80840364434729</v>
      </c>
      <c r="F58" s="15">
        <f t="shared" si="9"/>
        <v>242.54914438508806</v>
      </c>
      <c r="G58" s="15">
        <f t="shared" si="9"/>
        <v>233.28988512582879</v>
      </c>
      <c r="H58" s="15">
        <f t="shared" si="9"/>
        <v>224.03062586656952</v>
      </c>
      <c r="I58" s="15">
        <f t="shared" si="9"/>
        <v>214.77136660731028</v>
      </c>
      <c r="J58" s="15">
        <f t="shared" si="9"/>
        <v>205.51210734805102</v>
      </c>
      <c r="K58" s="15">
        <f t="shared" si="9"/>
        <v>196.25284808879175</v>
      </c>
      <c r="L58" s="15">
        <f t="shared" si="9"/>
        <v>186.99358882953248</v>
      </c>
      <c r="M58" s="15">
        <f t="shared" si="9"/>
        <v>177.73432957027325</v>
      </c>
      <c r="N58" s="15">
        <f t="shared" si="9"/>
        <v>168.47507031101398</v>
      </c>
      <c r="O58" s="15">
        <f t="shared" si="9"/>
        <v>159.21581105175471</v>
      </c>
      <c r="P58" s="15">
        <f t="shared" si="9"/>
        <v>149.95655179249547</v>
      </c>
      <c r="Q58" s="15">
        <f t="shared" si="9"/>
        <v>140.69729253323618</v>
      </c>
    </row>
    <row r="59" spans="1:17" ht="15" thickBot="1">
      <c r="A59" s="23">
        <f t="shared" si="11"/>
        <v>3.5000000000000003E-2</v>
      </c>
      <c r="B59" s="15">
        <f t="shared" si="10"/>
        <v>318.89629629629633</v>
      </c>
      <c r="C59" s="15">
        <f t="shared" si="9"/>
        <v>309.63703703703709</v>
      </c>
      <c r="D59" s="15">
        <f t="shared" si="9"/>
        <v>300.37777777777779</v>
      </c>
      <c r="E59" s="15">
        <f t="shared" si="9"/>
        <v>291.1185185185185</v>
      </c>
      <c r="F59" s="15">
        <f t="shared" si="9"/>
        <v>281.85925925925926</v>
      </c>
      <c r="G59" s="22">
        <f t="shared" si="9"/>
        <v>272.60000000000002</v>
      </c>
      <c r="H59" s="15">
        <f t="shared" si="9"/>
        <v>263.34074074074078</v>
      </c>
      <c r="I59" s="15">
        <f t="shared" si="9"/>
        <v>254.08148148148152</v>
      </c>
      <c r="J59" s="15">
        <f t="shared" si="9"/>
        <v>244.82222222222225</v>
      </c>
      <c r="K59" s="15">
        <f t="shared" si="9"/>
        <v>235.56296296296298</v>
      </c>
      <c r="L59" s="15">
        <f t="shared" si="9"/>
        <v>226.30370370370372</v>
      </c>
      <c r="M59" s="15">
        <f t="shared" si="9"/>
        <v>217.04444444444448</v>
      </c>
      <c r="N59" s="15">
        <f t="shared" si="9"/>
        <v>207.78518518518521</v>
      </c>
      <c r="O59" s="15">
        <f t="shared" si="9"/>
        <v>198.52592592592595</v>
      </c>
      <c r="P59" s="15">
        <f t="shared" si="9"/>
        <v>189.26666666666671</v>
      </c>
      <c r="Q59" s="15">
        <f t="shared" si="9"/>
        <v>180.00740740740741</v>
      </c>
    </row>
    <row r="60" spans="1:17">
      <c r="A60" s="23">
        <f t="shared" si="11"/>
        <v>3.8333333333333337E-2</v>
      </c>
      <c r="B60" s="15">
        <f t="shared" si="10"/>
        <v>358.20641117046762</v>
      </c>
      <c r="C60" s="15">
        <f t="shared" si="9"/>
        <v>348.94715191120838</v>
      </c>
      <c r="D60" s="15">
        <f t="shared" si="9"/>
        <v>339.68789265194908</v>
      </c>
      <c r="E60" s="15">
        <f t="shared" si="9"/>
        <v>330.42863339268979</v>
      </c>
      <c r="F60" s="15">
        <f t="shared" si="9"/>
        <v>321.16937413343055</v>
      </c>
      <c r="G60" s="15">
        <f t="shared" si="9"/>
        <v>311.91011487417131</v>
      </c>
      <c r="H60" s="15">
        <f t="shared" si="9"/>
        <v>302.65085561491207</v>
      </c>
      <c r="I60" s="15">
        <f t="shared" si="9"/>
        <v>293.39159635565284</v>
      </c>
      <c r="J60" s="15">
        <f t="shared" si="9"/>
        <v>284.13233709639354</v>
      </c>
      <c r="K60" s="15">
        <f t="shared" si="9"/>
        <v>274.87307783713425</v>
      </c>
      <c r="L60" s="15">
        <f t="shared" si="9"/>
        <v>265.61381857787501</v>
      </c>
      <c r="M60" s="15">
        <f t="shared" si="9"/>
        <v>256.35455931861577</v>
      </c>
      <c r="N60" s="15">
        <f t="shared" si="9"/>
        <v>247.0953000593565</v>
      </c>
      <c r="O60" s="15">
        <f t="shared" si="9"/>
        <v>237.83604080009724</v>
      </c>
      <c r="P60" s="15">
        <f t="shared" si="9"/>
        <v>228.576781540838</v>
      </c>
      <c r="Q60" s="15">
        <f t="shared" si="9"/>
        <v>219.3175222815787</v>
      </c>
    </row>
    <row r="61" spans="1:17">
      <c r="A61" s="23">
        <f t="shared" si="11"/>
        <v>4.1666666666666671E-2</v>
      </c>
      <c r="B61" s="15">
        <f t="shared" si="10"/>
        <v>397.51652604463879</v>
      </c>
      <c r="C61" s="15">
        <f t="shared" si="9"/>
        <v>388.25726678537956</v>
      </c>
      <c r="D61" s="15">
        <f t="shared" si="9"/>
        <v>378.99800752612032</v>
      </c>
      <c r="E61" s="15">
        <f t="shared" si="9"/>
        <v>369.73874826686108</v>
      </c>
      <c r="F61" s="15">
        <f t="shared" si="9"/>
        <v>360.47948900760184</v>
      </c>
      <c r="G61" s="15">
        <f t="shared" si="9"/>
        <v>351.22022974834255</v>
      </c>
      <c r="H61" s="15">
        <f t="shared" si="9"/>
        <v>341.96097048908325</v>
      </c>
      <c r="I61" s="15">
        <f t="shared" si="9"/>
        <v>332.70171122982401</v>
      </c>
      <c r="J61" s="15">
        <f t="shared" si="9"/>
        <v>323.44245197056478</v>
      </c>
      <c r="K61" s="15">
        <f t="shared" si="9"/>
        <v>314.18319271130554</v>
      </c>
      <c r="L61" s="15">
        <f t="shared" si="9"/>
        <v>304.92393345204624</v>
      </c>
      <c r="M61" s="15">
        <f t="shared" si="9"/>
        <v>295.664674192787</v>
      </c>
      <c r="N61" s="15">
        <f t="shared" si="9"/>
        <v>286.40541493352771</v>
      </c>
      <c r="O61" s="15">
        <f t="shared" si="9"/>
        <v>277.14615567426847</v>
      </c>
      <c r="P61" s="15">
        <f t="shared" si="9"/>
        <v>267.88689641500923</v>
      </c>
      <c r="Q61" s="15">
        <f t="shared" si="9"/>
        <v>258.62763715574994</v>
      </c>
    </row>
    <row r="62" spans="1:17">
      <c r="A62" s="23">
        <f t="shared" si="11"/>
        <v>4.5000000000000005E-2</v>
      </c>
      <c r="B62" s="15">
        <f t="shared" si="10"/>
        <v>436.82664091881009</v>
      </c>
      <c r="C62" s="15">
        <f t="shared" si="9"/>
        <v>427.56738165955085</v>
      </c>
      <c r="D62" s="15">
        <f t="shared" si="9"/>
        <v>418.30812240029161</v>
      </c>
      <c r="E62" s="15">
        <f t="shared" si="9"/>
        <v>409.04886314103237</v>
      </c>
      <c r="F62" s="15">
        <f t="shared" si="9"/>
        <v>399.78960388177313</v>
      </c>
      <c r="G62" s="15">
        <f t="shared" si="9"/>
        <v>390.53034462251384</v>
      </c>
      <c r="H62" s="15">
        <f t="shared" si="9"/>
        <v>381.27108536325454</v>
      </c>
      <c r="I62" s="15">
        <f t="shared" si="9"/>
        <v>372.0118261039953</v>
      </c>
      <c r="J62" s="15">
        <f t="shared" si="9"/>
        <v>362.75256684473607</v>
      </c>
      <c r="K62" s="15">
        <f t="shared" si="9"/>
        <v>353.49330758547683</v>
      </c>
      <c r="L62" s="15">
        <f t="shared" si="9"/>
        <v>344.23404832621753</v>
      </c>
      <c r="M62" s="15">
        <f t="shared" si="9"/>
        <v>334.97478906695829</v>
      </c>
      <c r="N62" s="15">
        <f t="shared" si="9"/>
        <v>325.715529807699</v>
      </c>
      <c r="O62" s="15">
        <f t="shared" si="9"/>
        <v>316.45627054843976</v>
      </c>
      <c r="P62" s="15">
        <f t="shared" si="9"/>
        <v>307.19701128918052</v>
      </c>
      <c r="Q62" s="15">
        <f t="shared" si="9"/>
        <v>297.93775202992123</v>
      </c>
    </row>
    <row r="63" spans="1:17">
      <c r="A63" s="23">
        <f t="shared" si="11"/>
        <v>4.8333333333333339E-2</v>
      </c>
      <c r="B63" s="15">
        <f t="shared" si="10"/>
        <v>476.13675579298138</v>
      </c>
      <c r="C63" s="15">
        <f t="shared" si="9"/>
        <v>466.87749653372214</v>
      </c>
      <c r="D63" s="15">
        <f t="shared" si="9"/>
        <v>457.6182372744629</v>
      </c>
      <c r="E63" s="15">
        <f t="shared" si="9"/>
        <v>448.35897801520366</v>
      </c>
      <c r="F63" s="15">
        <f t="shared" si="9"/>
        <v>439.09971875594442</v>
      </c>
      <c r="G63" s="15">
        <f t="shared" si="9"/>
        <v>429.84045949668513</v>
      </c>
      <c r="H63" s="15">
        <f t="shared" si="9"/>
        <v>420.58120023742583</v>
      </c>
      <c r="I63" s="15">
        <f t="shared" si="9"/>
        <v>411.32194097816659</v>
      </c>
      <c r="J63" s="15">
        <f t="shared" si="9"/>
        <v>402.06268171890736</v>
      </c>
      <c r="K63" s="15">
        <f t="shared" si="9"/>
        <v>392.80342245964812</v>
      </c>
      <c r="L63" s="15">
        <f t="shared" si="9"/>
        <v>383.54416320038882</v>
      </c>
      <c r="M63" s="15">
        <f t="shared" si="9"/>
        <v>374.28490394112958</v>
      </c>
      <c r="N63" s="15">
        <f t="shared" si="9"/>
        <v>365.02564468187029</v>
      </c>
      <c r="O63" s="15">
        <f t="shared" si="9"/>
        <v>355.76638542261105</v>
      </c>
      <c r="P63" s="15">
        <f t="shared" si="9"/>
        <v>346.50712616335181</v>
      </c>
      <c r="Q63" s="15">
        <f t="shared" si="9"/>
        <v>337.24786690409252</v>
      </c>
    </row>
    <row r="64" spans="1:17">
      <c r="A64" s="23">
        <f t="shared" si="11"/>
        <v>5.1666666666666673E-2</v>
      </c>
      <c r="B64" s="15">
        <f t="shared" si="10"/>
        <v>515.44687066715267</v>
      </c>
      <c r="C64" s="15">
        <f t="shared" si="9"/>
        <v>506.18761140789343</v>
      </c>
      <c r="D64" s="15">
        <f t="shared" si="9"/>
        <v>496.92835214863419</v>
      </c>
      <c r="E64" s="15">
        <f t="shared" si="9"/>
        <v>487.66909288937495</v>
      </c>
      <c r="F64" s="15">
        <f t="shared" si="9"/>
        <v>478.40983363011571</v>
      </c>
      <c r="G64" s="15">
        <f t="shared" si="9"/>
        <v>469.15057437085642</v>
      </c>
      <c r="H64" s="15">
        <f t="shared" si="9"/>
        <v>459.89131511159712</v>
      </c>
      <c r="I64" s="15">
        <f t="shared" si="9"/>
        <v>450.63205585233788</v>
      </c>
      <c r="J64" s="15">
        <f t="shared" si="9"/>
        <v>441.37279659307865</v>
      </c>
      <c r="K64" s="15">
        <f t="shared" si="9"/>
        <v>432.11353733381941</v>
      </c>
      <c r="L64" s="15">
        <f t="shared" si="9"/>
        <v>422.85427807456011</v>
      </c>
      <c r="M64" s="15">
        <f t="shared" si="9"/>
        <v>413.59501881530088</v>
      </c>
      <c r="N64" s="15">
        <f t="shared" si="9"/>
        <v>404.33575955604158</v>
      </c>
      <c r="O64" s="15">
        <f t="shared" si="9"/>
        <v>395.07650029678234</v>
      </c>
      <c r="P64" s="15">
        <f t="shared" si="9"/>
        <v>385.8172410375231</v>
      </c>
      <c r="Q64" s="15">
        <f t="shared" si="9"/>
        <v>376.55798177826381</v>
      </c>
    </row>
    <row r="65" spans="1:17">
      <c r="A65" s="23">
        <f t="shared" si="11"/>
        <v>5.5000000000000007E-2</v>
      </c>
      <c r="B65" s="15">
        <f t="shared" si="10"/>
        <v>554.75698554132384</v>
      </c>
      <c r="C65" s="15">
        <f t="shared" si="9"/>
        <v>545.4977262820646</v>
      </c>
      <c r="D65" s="15">
        <f t="shared" si="9"/>
        <v>536.23846702280537</v>
      </c>
      <c r="E65" s="15">
        <f t="shared" si="9"/>
        <v>526.97920776354613</v>
      </c>
      <c r="F65" s="15">
        <f t="shared" si="9"/>
        <v>517.71994850428689</v>
      </c>
      <c r="G65" s="15">
        <f t="shared" si="9"/>
        <v>508.4606892450276</v>
      </c>
      <c r="H65" s="15">
        <f t="shared" si="9"/>
        <v>499.2014299857683</v>
      </c>
      <c r="I65" s="15">
        <f t="shared" si="9"/>
        <v>489.94217072650906</v>
      </c>
      <c r="J65" s="15">
        <f t="shared" si="9"/>
        <v>480.68291146724982</v>
      </c>
      <c r="K65" s="15">
        <f t="shared" si="9"/>
        <v>471.42365220799059</v>
      </c>
      <c r="L65" s="15">
        <f t="shared" si="9"/>
        <v>462.16439294873129</v>
      </c>
      <c r="M65" s="15">
        <f t="shared" si="9"/>
        <v>452.90513368947205</v>
      </c>
      <c r="N65" s="15">
        <f t="shared" si="9"/>
        <v>443.64587443021276</v>
      </c>
      <c r="O65" s="15">
        <f t="shared" si="9"/>
        <v>434.38661517095352</v>
      </c>
      <c r="P65" s="15">
        <f t="shared" si="9"/>
        <v>425.12735591169428</v>
      </c>
      <c r="Q65" s="15">
        <f t="shared" si="9"/>
        <v>415.86809665243499</v>
      </c>
    </row>
    <row r="66" spans="1:17">
      <c r="A66" s="23">
        <f t="shared" si="11"/>
        <v>5.8333333333333341E-2</v>
      </c>
      <c r="B66" s="15">
        <f t="shared" si="10"/>
        <v>594.06710041549513</v>
      </c>
      <c r="C66" s="15">
        <f t="shared" si="9"/>
        <v>584.8078411562359</v>
      </c>
      <c r="D66" s="15">
        <f t="shared" si="9"/>
        <v>575.54858189697666</v>
      </c>
      <c r="E66" s="15">
        <f t="shared" si="9"/>
        <v>566.28932263771742</v>
      </c>
      <c r="F66" s="15">
        <f t="shared" si="9"/>
        <v>557.03006337845818</v>
      </c>
      <c r="G66" s="15">
        <f t="shared" si="9"/>
        <v>547.77080411919883</v>
      </c>
      <c r="H66" s="15">
        <f t="shared" si="9"/>
        <v>538.51154485993959</v>
      </c>
      <c r="I66" s="15">
        <f t="shared" si="9"/>
        <v>529.25228560068035</v>
      </c>
      <c r="J66" s="15">
        <f t="shared" si="9"/>
        <v>519.99302634142111</v>
      </c>
      <c r="K66" s="15">
        <f t="shared" si="9"/>
        <v>510.73376708216188</v>
      </c>
      <c r="L66" s="15">
        <f t="shared" si="9"/>
        <v>501.47450782290258</v>
      </c>
      <c r="M66" s="15">
        <f t="shared" si="9"/>
        <v>492.21524856364334</v>
      </c>
      <c r="N66" s="15">
        <f t="shared" si="9"/>
        <v>482.95598930438405</v>
      </c>
      <c r="O66" s="15">
        <f t="shared" si="9"/>
        <v>473.69673004512481</v>
      </c>
      <c r="P66" s="15">
        <f t="shared" si="9"/>
        <v>464.43747078586557</v>
      </c>
      <c r="Q66" s="15">
        <f t="shared" si="9"/>
        <v>455.17821152660628</v>
      </c>
    </row>
    <row r="67" spans="1:17">
      <c r="A67" s="23">
        <f t="shared" si="11"/>
        <v>6.1666666666666675E-2</v>
      </c>
      <c r="B67" s="15">
        <f t="shared" si="10"/>
        <v>633.37721528966631</v>
      </c>
      <c r="C67" s="15">
        <f t="shared" si="9"/>
        <v>624.11795603040707</v>
      </c>
      <c r="D67" s="15">
        <f t="shared" si="9"/>
        <v>614.85869677114783</v>
      </c>
      <c r="E67" s="15">
        <f t="shared" si="9"/>
        <v>605.5994375118886</v>
      </c>
      <c r="F67" s="15">
        <f t="shared" si="9"/>
        <v>596.34017825262936</v>
      </c>
      <c r="G67" s="15">
        <f t="shared" si="9"/>
        <v>587.08091899337001</v>
      </c>
      <c r="H67" s="15">
        <f t="shared" si="9"/>
        <v>577.82165973411077</v>
      </c>
      <c r="I67" s="15">
        <f t="shared" si="9"/>
        <v>568.56240047485153</v>
      </c>
      <c r="J67" s="15">
        <f t="shared" si="9"/>
        <v>559.30314121559229</v>
      </c>
      <c r="K67" s="15">
        <f t="shared" si="9"/>
        <v>550.04388195633305</v>
      </c>
      <c r="L67" s="15">
        <f t="shared" si="9"/>
        <v>540.7846226970737</v>
      </c>
      <c r="M67" s="15">
        <f t="shared" si="9"/>
        <v>531.52536343781458</v>
      </c>
      <c r="N67" s="15">
        <f t="shared" si="9"/>
        <v>522.26610417855522</v>
      </c>
      <c r="O67" s="15">
        <f t="shared" si="9"/>
        <v>513.00684491929599</v>
      </c>
      <c r="P67" s="15">
        <f t="shared" si="9"/>
        <v>503.74758566003675</v>
      </c>
      <c r="Q67" s="15">
        <f t="shared" si="9"/>
        <v>494.48832640077745</v>
      </c>
    </row>
    <row r="68" spans="1:17">
      <c r="A68" s="23">
        <f t="shared" si="11"/>
        <v>6.5000000000000002E-2</v>
      </c>
      <c r="B68" s="15">
        <f t="shared" si="10"/>
        <v>672.68733016383749</v>
      </c>
      <c r="C68" s="15">
        <f t="shared" si="9"/>
        <v>663.42807090457825</v>
      </c>
      <c r="D68" s="15">
        <f t="shared" si="9"/>
        <v>654.16881164531901</v>
      </c>
      <c r="E68" s="15">
        <f t="shared" si="9"/>
        <v>644.90955238605977</v>
      </c>
      <c r="F68" s="15">
        <f t="shared" si="9"/>
        <v>635.65029312680053</v>
      </c>
      <c r="G68" s="15">
        <f t="shared" si="9"/>
        <v>626.39103386754118</v>
      </c>
      <c r="H68" s="15">
        <f t="shared" si="9"/>
        <v>617.13177460828194</v>
      </c>
      <c r="I68" s="15">
        <f t="shared" si="9"/>
        <v>607.87251534902271</v>
      </c>
      <c r="J68" s="15">
        <f t="shared" si="9"/>
        <v>598.61325608976347</v>
      </c>
      <c r="K68" s="15">
        <f t="shared" si="9"/>
        <v>589.35399683050423</v>
      </c>
      <c r="L68" s="15">
        <f t="shared" si="9"/>
        <v>580.09473757124488</v>
      </c>
      <c r="M68" s="15">
        <f t="shared" si="9"/>
        <v>570.83547831198575</v>
      </c>
      <c r="N68" s="15">
        <f t="shared" si="9"/>
        <v>561.5762190527264</v>
      </c>
      <c r="O68" s="15">
        <f t="shared" si="9"/>
        <v>552.31695979346716</v>
      </c>
      <c r="P68" s="15">
        <f t="shared" si="9"/>
        <v>543.05770053420792</v>
      </c>
      <c r="Q68" s="15">
        <f t="shared" si="9"/>
        <v>533.79844127494857</v>
      </c>
    </row>
  </sheetData>
  <conditionalFormatting sqref="B53:Q68">
    <cfRule type="colorScale" priority="1">
      <colorScale>
        <cfvo type="min"/>
        <cfvo type="num" val="272.60000000000002"/>
        <cfvo type="max"/>
        <color rgb="FFF8696B"/>
        <color theme="0"/>
        <color rgb="FF63BE7B"/>
      </colorScale>
    </cfRule>
  </conditionalFormatting>
  <dataValidations count="2">
    <dataValidation type="list" allowBlank="1" showInputMessage="1" showErrorMessage="1" sqref="B2" xr:uid="{287CD67F-D01F-4872-BDB6-AF427FAF01FC}">
      <formula1>"Downside,Base,Upside"</formula1>
    </dataValidation>
    <dataValidation type="list" allowBlank="1" showInputMessage="1" showErrorMessage="1" sqref="B3" xr:uid="{CE5B7C79-6651-4165-9F63-FAE8410ADC1E}">
      <formula1>"Lean,Base,Ambitious"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52B2E-1999-4EB6-B0A8-BB6628F849B5}">
  <dimension ref="A1:H63"/>
  <sheetViews>
    <sheetView workbookViewId="0">
      <selection activeCell="R59" sqref="R59"/>
    </sheetView>
  </sheetViews>
  <sheetFormatPr defaultRowHeight="14.4"/>
  <cols>
    <col min="1" max="1" width="55.109375" bestFit="1" customWidth="1"/>
    <col min="2" max="2" width="9.109375" bestFit="1" customWidth="1"/>
  </cols>
  <sheetData>
    <row r="1" spans="1:6" ht="18">
      <c r="A1" s="1" t="s">
        <v>76</v>
      </c>
    </row>
    <row r="2" spans="1:6">
      <c r="A2" t="s">
        <v>97</v>
      </c>
      <c r="B2" s="16" t="s">
        <v>61</v>
      </c>
      <c r="C2" s="34">
        <f>CHOOSE(MATCH($B$2,{"Lean","Base","Ambitious"},0),Cover_Assumptions!$B$33,Cover_Assumptions!$B$34,Cover_Assumptions!$B$35)</f>
        <v>40</v>
      </c>
    </row>
    <row r="3" spans="1:6">
      <c r="A3" t="s">
        <v>77</v>
      </c>
      <c r="B3" s="16" t="s">
        <v>61</v>
      </c>
      <c r="C3" s="25">
        <f>CHOOSE(MATCH($B$3,{"Downside","Base","Upside"},0),Cover_Assumptions!$B$36,Cover_Assumptions!$B$37,Cover_Assumptions!$B$38)</f>
        <v>0.04</v>
      </c>
    </row>
    <row r="4" spans="1:6" ht="15.6">
      <c r="A4" s="18" t="s">
        <v>39</v>
      </c>
      <c r="B4" s="19"/>
      <c r="C4" s="19"/>
      <c r="D4" s="19"/>
      <c r="E4" s="19"/>
      <c r="F4" s="19"/>
    </row>
    <row r="5" spans="1:6"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</row>
    <row r="6" spans="1:6">
      <c r="A6" t="s">
        <v>78</v>
      </c>
      <c r="B6" s="27">
        <f>100*(1+Cover_Assumptions!$B$32)</f>
        <v>107</v>
      </c>
      <c r="C6" s="32">
        <f>B6*(1+Cover_Assumptions!$B$32)</f>
        <v>114.49000000000001</v>
      </c>
      <c r="D6" s="32">
        <f>C6*(1+Cover_Assumptions!$B$32)</f>
        <v>122.50430000000001</v>
      </c>
      <c r="E6" s="32">
        <f>D6*(1+Cover_Assumptions!$B$32)</f>
        <v>131.07960100000003</v>
      </c>
      <c r="F6" s="32">
        <f>E6*(1+Cover_Assumptions!$B$32)</f>
        <v>140.25517307000004</v>
      </c>
    </row>
    <row r="8" spans="1:6">
      <c r="A8" t="s">
        <v>79</v>
      </c>
      <c r="B8" s="26">
        <f>(Cover_Assumptions!$B$11*1000-Cover_Assumptions!$B$27*1000)*Cover_Assumptions!$B$39*(1+Cover_Assumptions!$B$32)*(B6/100)</f>
        <v>1250.2308</v>
      </c>
      <c r="C8" s="26">
        <f>(Cover_Assumptions!$B$11*1000-Cover_Assumptions!$B$27*1000)*Cover_Assumptions!$B$39*(1+Cover_Assumptions!$B$32)*(C6/100)</f>
        <v>1337.7469560000002</v>
      </c>
      <c r="D8" s="26">
        <f>(Cover_Assumptions!$B$11*1000-Cover_Assumptions!$B$27*1000)*Cover_Assumptions!$B$39*(1+Cover_Assumptions!$B$32)*(D6/100)</f>
        <v>1431.3892429200002</v>
      </c>
      <c r="E8" s="26">
        <f>(Cover_Assumptions!$B$11*1000-Cover_Assumptions!$B$27*1000)*Cover_Assumptions!$B$39*(1+Cover_Assumptions!$B$32)*(E6/100)</f>
        <v>1531.5864899244004</v>
      </c>
      <c r="F8" s="26">
        <f>(Cover_Assumptions!$B$11*1000-Cover_Assumptions!$B$27*1000)*Cover_Assumptions!$B$39*(1+Cover_Assumptions!$B$32)*(F6/100)</f>
        <v>1638.7975442191084</v>
      </c>
    </row>
    <row r="10" spans="1:6">
      <c r="A10" t="s">
        <v>84</v>
      </c>
      <c r="B10" s="32">
        <f>100*(1+Cover_Assumptions!$B$40)</f>
        <v>95.444444444444443</v>
      </c>
      <c r="C10" s="32">
        <f>B10*(1+Cover_Assumptions!$B$40)</f>
        <v>91.096419753086423</v>
      </c>
      <c r="D10" s="32">
        <f>C10*(1+Cover_Assumptions!$B$40)</f>
        <v>86.946471742112479</v>
      </c>
      <c r="E10" s="32">
        <f>D10*(1+Cover_Assumptions!$B$40)</f>
        <v>82.985576918305128</v>
      </c>
      <c r="F10" s="32">
        <f>E10*(1+Cover_Assumptions!$B$40)</f>
        <v>79.205122858693443</v>
      </c>
    </row>
    <row r="12" spans="1:6">
      <c r="A12" t="s">
        <v>85</v>
      </c>
      <c r="B12" s="26">
        <f>(Cover_Assumptions!$B$11*1000-Cover_Assumptions!$B$27*1000)*(1-Cover_Assumptions!$B$39)*(1+Cover_Assumptions!$B$40)*(B10/100)</f>
        <v>8952.9561333333331</v>
      </c>
      <c r="C12" s="26">
        <f>(Cover_Assumptions!$B$11*1000-Cover_Assumptions!$B$27*1000)*(1-Cover_Assumptions!$B$39)*(1+Cover_Assumptions!$B$40)*(C10/100)</f>
        <v>8545.0992428148147</v>
      </c>
      <c r="D12" s="26">
        <f>(Cover_Assumptions!$B$11*1000-Cover_Assumptions!$B$27*1000)*(1-Cover_Assumptions!$B$39)*(1+Cover_Assumptions!$B$40)*(D10/100)</f>
        <v>8155.8224995310284</v>
      </c>
      <c r="E12" s="26">
        <f>(Cover_Assumptions!$B$11*1000-Cover_Assumptions!$B$27*1000)*(1-Cover_Assumptions!$B$39)*(1+Cover_Assumptions!$B$40)*(E10/100)</f>
        <v>7784.2794745523925</v>
      </c>
      <c r="F12" s="26">
        <f>(Cover_Assumptions!$B$11*1000-Cover_Assumptions!$B$27*1000)*(1-Cover_Assumptions!$B$39)*(1+Cover_Assumptions!$B$40)*(F10/100)</f>
        <v>7429.6622984894502</v>
      </c>
    </row>
    <row r="14" spans="1:6">
      <c r="A14" t="s">
        <v>86</v>
      </c>
      <c r="B14" s="33">
        <f>B8+B12</f>
        <v>10203.186933333332</v>
      </c>
      <c r="C14" s="33">
        <f t="shared" ref="C14:F14" si="0">C8+C12</f>
        <v>9882.8461988148156</v>
      </c>
      <c r="D14" s="33">
        <f t="shared" si="0"/>
        <v>9587.2117424510288</v>
      </c>
      <c r="E14" s="33">
        <f t="shared" si="0"/>
        <v>9315.8659644767922</v>
      </c>
      <c r="F14" s="33">
        <f t="shared" si="0"/>
        <v>9068.4598427085584</v>
      </c>
    </row>
    <row r="16" spans="1:6">
      <c r="A16" t="s">
        <v>55</v>
      </c>
      <c r="B16" s="26">
        <f>B14*Cover_Assumptions!$B$19</f>
        <v>2856.8923413333332</v>
      </c>
      <c r="C16" s="26">
        <f>C14*Cover_Assumptions!$B$19</f>
        <v>2767.1969356681484</v>
      </c>
      <c r="D16" s="26">
        <f>D14*Cover_Assumptions!$B$19</f>
        <v>2684.4192878862882</v>
      </c>
      <c r="E16" s="26">
        <f>E14*Cover_Assumptions!$B$19</f>
        <v>2608.4424700535019</v>
      </c>
      <c r="F16" s="26">
        <f>F14*Cover_Assumptions!$B$19</f>
        <v>2539.1687559583966</v>
      </c>
    </row>
    <row r="18" spans="1:6" ht="15.6">
      <c r="A18" s="18" t="s">
        <v>62</v>
      </c>
      <c r="B18" s="19"/>
      <c r="C18" s="19"/>
      <c r="D18" s="19"/>
      <c r="E18" s="19"/>
      <c r="F18" s="19"/>
    </row>
    <row r="19" spans="1:6">
      <c r="B19" s="5" t="s">
        <v>40</v>
      </c>
      <c r="C19" s="5" t="s">
        <v>41</v>
      </c>
      <c r="D19" s="5" t="s">
        <v>42</v>
      </c>
      <c r="E19" s="5" t="s">
        <v>43</v>
      </c>
      <c r="F19" s="5" t="s">
        <v>44</v>
      </c>
    </row>
    <row r="20" spans="1:6">
      <c r="A20" t="s">
        <v>87</v>
      </c>
      <c r="B20" s="27">
        <f>100*(1+Cover_Assumptions!$B$32+$C$3)</f>
        <v>111.00000000000001</v>
      </c>
      <c r="C20" s="32">
        <f>B20*(1+Cover_Assumptions!$B$32+$C$3)</f>
        <v>123.21000000000002</v>
      </c>
      <c r="D20" s="32">
        <f>C20*(1+Cover_Assumptions!$B$32+$C$3)</f>
        <v>136.76310000000004</v>
      </c>
      <c r="E20" s="32">
        <f>D20*(1+Cover_Assumptions!$B$32+$C$3)</f>
        <v>151.80704100000005</v>
      </c>
      <c r="F20" s="32">
        <f>E20*(1+Cover_Assumptions!$B$32+$C$3)</f>
        <v>168.50581551000008</v>
      </c>
    </row>
    <row r="22" spans="1:6">
      <c r="A22" t="s">
        <v>98</v>
      </c>
      <c r="B22" s="26">
        <f>(Cover_Assumptions!$B$11*1000-Cover_Assumptions!$B$27*1000)*Cover_Assumptions!$B$39*(1+Cover_Assumptions!$B$32)*(B20/100)</f>
        <v>1296.9684000000002</v>
      </c>
      <c r="C22" s="26">
        <f>(Cover_Assumptions!$B$11*1000-Cover_Assumptions!$B$27*1000)*Cover_Assumptions!$B$39*(1+Cover_Assumptions!$B$32)*(C20/100)</f>
        <v>1439.6349240000002</v>
      </c>
      <c r="D22" s="26">
        <f>(Cover_Assumptions!$B$11*1000-Cover_Assumptions!$B$27*1000)*Cover_Assumptions!$B$39*(1+Cover_Assumptions!$B$32)*(D20/100)</f>
        <v>1597.9947656400004</v>
      </c>
      <c r="E22" s="26">
        <f>(Cover_Assumptions!$B$11*1000-Cover_Assumptions!$B$27*1000)*Cover_Assumptions!$B$39*(1+Cover_Assumptions!$B$32)*(E20/100)</f>
        <v>1773.7741898604008</v>
      </c>
      <c r="F22" s="26">
        <f>(Cover_Assumptions!$B$11*1000-Cover_Assumptions!$B$27*1000)*Cover_Assumptions!$B$39*(1+Cover_Assumptions!$B$32)*(F20/100)</f>
        <v>1968.889350745045</v>
      </c>
    </row>
    <row r="24" spans="1:6">
      <c r="A24" t="s">
        <v>99</v>
      </c>
      <c r="B24" s="28">
        <f>Cover_Assumptions!$B$41*(B6/100)</f>
        <v>15.925559000000002</v>
      </c>
      <c r="C24" s="28">
        <f>Cover_Assumptions!$B$41*(C6/100)</f>
        <v>17.040348130000002</v>
      </c>
      <c r="D24" s="28">
        <f>Cover_Assumptions!$B$41*(D6/100)</f>
        <v>18.233172499100004</v>
      </c>
      <c r="E24" s="28">
        <f>Cover_Assumptions!$B$41*(E6/100)</f>
        <v>19.509494574037006</v>
      </c>
      <c r="F24" s="28">
        <f>Cover_Assumptions!$B$41*(F6/100)</f>
        <v>20.875159194219599</v>
      </c>
    </row>
    <row r="26" spans="1:6">
      <c r="A26" t="s">
        <v>100</v>
      </c>
      <c r="B26" s="28">
        <f>Cover_Assumptions!$B$41*(B20/100)</f>
        <v>16.520907000000001</v>
      </c>
      <c r="C26" s="28">
        <f>Cover_Assumptions!$B$41*(C20/100)</f>
        <v>18.338206770000003</v>
      </c>
      <c r="D26" s="28">
        <f>Cover_Assumptions!$B$41*(D20/100)</f>
        <v>20.355409514700007</v>
      </c>
      <c r="E26" s="28">
        <f>Cover_Assumptions!$B$41*(E20/100)</f>
        <v>22.594504561317009</v>
      </c>
      <c r="F26" s="28">
        <f>Cover_Assumptions!$B$41*(F20/100)</f>
        <v>25.079900063061885</v>
      </c>
    </row>
    <row r="28" spans="1:6">
      <c r="A28" t="s">
        <v>101</v>
      </c>
      <c r="B28" s="35">
        <f>B26-B24</f>
        <v>0.59534799999999954</v>
      </c>
      <c r="C28" s="35">
        <f t="shared" ref="C28:F28" si="1">C26-C24</f>
        <v>1.2978586400000012</v>
      </c>
      <c r="D28" s="35">
        <f t="shared" si="1"/>
        <v>2.1222370156000032</v>
      </c>
      <c r="E28" s="35">
        <f t="shared" si="1"/>
        <v>3.085009987280003</v>
      </c>
      <c r="F28" s="35">
        <f t="shared" si="1"/>
        <v>4.2047408688422863</v>
      </c>
    </row>
    <row r="30" spans="1:6">
      <c r="A30" t="s">
        <v>102</v>
      </c>
      <c r="B30" s="13">
        <f>B28</f>
        <v>0.59534799999999954</v>
      </c>
      <c r="C30" s="13">
        <f>C28-B28</f>
        <v>0.70251064000000163</v>
      </c>
      <c r="D30" s="13">
        <f t="shared" ref="D30:F30" si="2">D28-C28</f>
        <v>0.82437837560000204</v>
      </c>
      <c r="E30" s="13">
        <f t="shared" si="2"/>
        <v>0.96277297167999976</v>
      </c>
      <c r="F30" s="13">
        <f t="shared" si="2"/>
        <v>1.1197308815622833</v>
      </c>
    </row>
    <row r="32" spans="1:6">
      <c r="A32" t="s">
        <v>103</v>
      </c>
      <c r="B32" s="15">
        <f>-B30*$C$2</f>
        <v>-23.813919999999982</v>
      </c>
      <c r="C32" s="15">
        <f t="shared" ref="C32:F32" si="3">-C30*$C$2</f>
        <v>-28.100425600000065</v>
      </c>
      <c r="D32" s="15">
        <f t="shared" si="3"/>
        <v>-32.975135024000082</v>
      </c>
      <c r="E32" s="15">
        <f t="shared" si="3"/>
        <v>-38.51091886719999</v>
      </c>
      <c r="F32" s="15">
        <f t="shared" si="3"/>
        <v>-44.789235262491331</v>
      </c>
    </row>
    <row r="34" spans="1:6">
      <c r="B34" s="33"/>
      <c r="C34" s="33"/>
      <c r="D34" s="33"/>
      <c r="E34" s="33"/>
      <c r="F34" s="33"/>
    </row>
    <row r="35" spans="1:6">
      <c r="B35" s="36"/>
      <c r="C35" s="36"/>
      <c r="D35" s="36"/>
      <c r="E35" s="36"/>
      <c r="F35" s="36"/>
    </row>
    <row r="36" spans="1:6">
      <c r="A36" t="s">
        <v>88</v>
      </c>
      <c r="B36" s="33">
        <f>B12</f>
        <v>8952.9561333333331</v>
      </c>
      <c r="C36" s="33">
        <f t="shared" ref="C36:F36" si="4">C12</f>
        <v>8545.0992428148147</v>
      </c>
      <c r="D36" s="33">
        <f t="shared" si="4"/>
        <v>8155.8224995310284</v>
      </c>
      <c r="E36" s="33">
        <f t="shared" si="4"/>
        <v>7784.2794745523925</v>
      </c>
      <c r="F36" s="33">
        <f t="shared" si="4"/>
        <v>7429.6622984894502</v>
      </c>
    </row>
    <row r="38" spans="1:6">
      <c r="A38" t="s">
        <v>89</v>
      </c>
      <c r="B38" s="17">
        <f>B22+B36</f>
        <v>10249.924533333333</v>
      </c>
      <c r="C38" s="17">
        <f t="shared" ref="C38:F38" si="5">C22+C36</f>
        <v>9984.7341668148147</v>
      </c>
      <c r="D38" s="17">
        <f t="shared" si="5"/>
        <v>9753.8172651710283</v>
      </c>
      <c r="E38" s="17">
        <f t="shared" si="5"/>
        <v>9558.0536644127933</v>
      </c>
      <c r="F38" s="17">
        <f t="shared" si="5"/>
        <v>9398.5516492344959</v>
      </c>
    </row>
    <row r="40" spans="1:6">
      <c r="A40" t="s">
        <v>90</v>
      </c>
      <c r="B40" s="26">
        <f>B38*Cover_Assumptions!$B$19</f>
        <v>2869.9788693333335</v>
      </c>
      <c r="C40" s="26">
        <f>C38*Cover_Assumptions!$B$19</f>
        <v>2795.7255667081486</v>
      </c>
      <c r="D40" s="26">
        <f>D38*Cover_Assumptions!$B$19</f>
        <v>2731.0688342478884</v>
      </c>
      <c r="E40" s="26">
        <f>E38*Cover_Assumptions!$B$19</f>
        <v>2676.2550260355824</v>
      </c>
      <c r="F40" s="26">
        <f>F38*Cover_Assumptions!$B$19</f>
        <v>2631.594461785659</v>
      </c>
    </row>
    <row r="42" spans="1:6">
      <c r="A42" t="s">
        <v>67</v>
      </c>
      <c r="B42" s="17">
        <f>B40+B32</f>
        <v>2846.1649493333334</v>
      </c>
      <c r="C42" s="17">
        <f t="shared" ref="C42:F42" si="6">C40+C32</f>
        <v>2767.6251411081485</v>
      </c>
      <c r="D42" s="17">
        <f t="shared" si="6"/>
        <v>2698.0936992238885</v>
      </c>
      <c r="E42" s="17">
        <f t="shared" si="6"/>
        <v>2637.7441071683825</v>
      </c>
      <c r="F42" s="17">
        <f t="shared" si="6"/>
        <v>2586.8052265231677</v>
      </c>
    </row>
    <row r="44" spans="1:6" ht="15.6">
      <c r="A44" s="18" t="s">
        <v>68</v>
      </c>
      <c r="B44" s="19"/>
      <c r="C44" s="19"/>
      <c r="D44" s="19"/>
      <c r="E44" s="19"/>
      <c r="F44" s="19"/>
    </row>
    <row r="45" spans="1:6">
      <c r="B45" s="5" t="s">
        <v>40</v>
      </c>
      <c r="C45" s="5" t="s">
        <v>41</v>
      </c>
      <c r="D45" s="5" t="s">
        <v>42</v>
      </c>
      <c r="E45" s="5" t="s">
        <v>43</v>
      </c>
      <c r="F45" s="5" t="s">
        <v>44</v>
      </c>
    </row>
    <row r="46" spans="1:6">
      <c r="A46" t="s">
        <v>69</v>
      </c>
      <c r="B46" s="15">
        <f>B42-B16</f>
        <v>-10.727391999999782</v>
      </c>
      <c r="C46" s="15">
        <f t="shared" ref="C46:F46" si="7">C42-C16</f>
        <v>0.42820544000005611</v>
      </c>
      <c r="D46" s="15">
        <f t="shared" si="7"/>
        <v>13.674411337600304</v>
      </c>
      <c r="E46" s="15">
        <f t="shared" si="7"/>
        <v>29.301637114880577</v>
      </c>
      <c r="F46" s="15">
        <f t="shared" si="7"/>
        <v>47.636470564771116</v>
      </c>
    </row>
    <row r="48" spans="1:6">
      <c r="A48" t="s">
        <v>70</v>
      </c>
      <c r="B48" s="37">
        <f>1/(1+Cover_Assumptions!$B$4)^(COLUMN()-COLUMN($B$5)+1)</f>
        <v>0.92592592592592582</v>
      </c>
      <c r="C48" s="37">
        <f>1/(1+Cover_Assumptions!$B$4)^(COLUMN()-COLUMN($B$5)+1)</f>
        <v>0.85733882030178321</v>
      </c>
      <c r="D48" s="37">
        <f>1/(1+Cover_Assumptions!$B$4)^(COLUMN()-COLUMN($B$5)+1)</f>
        <v>0.79383224102016958</v>
      </c>
      <c r="E48" s="37">
        <f>1/(1+Cover_Assumptions!$B$4)^(COLUMN()-COLUMN($B$5)+1)</f>
        <v>0.73502985279645328</v>
      </c>
      <c r="F48" s="37">
        <f>1/(1+Cover_Assumptions!$B$4)^(COLUMN()-COLUMN($B$5)+1)</f>
        <v>0.68058319703375303</v>
      </c>
    </row>
    <row r="50" spans="1:8">
      <c r="A50" t="s">
        <v>71</v>
      </c>
      <c r="B50" s="15">
        <f>B46*B48</f>
        <v>-9.9327703703701662</v>
      </c>
      <c r="C50" s="15">
        <f t="shared" ref="C50:F50" si="8">C46*C48</f>
        <v>0.36711714677645413</v>
      </c>
      <c r="D50" s="15">
        <f t="shared" si="8"/>
        <v>10.855188596758865</v>
      </c>
      <c r="E50" s="15">
        <f t="shared" si="8"/>
        <v>21.537578015245764</v>
      </c>
      <c r="F50" s="15">
        <f t="shared" si="8"/>
        <v>32.420581432376196</v>
      </c>
    </row>
    <row r="51" spans="1:8" ht="15" thickBot="1"/>
    <row r="52" spans="1:8" ht="15" thickBot="1">
      <c r="A52" s="5" t="s">
        <v>72</v>
      </c>
      <c r="B52" s="22">
        <f>SUM(B50:F50)</f>
        <v>55.24769482078711</v>
      </c>
    </row>
    <row r="55" spans="1:8" ht="15.6">
      <c r="A55" s="18" t="s">
        <v>119</v>
      </c>
      <c r="B55" s="19"/>
      <c r="C55" s="19"/>
      <c r="D55" s="19"/>
      <c r="E55" s="19"/>
      <c r="F55" s="19"/>
      <c r="G55" s="19"/>
      <c r="H55" s="19"/>
    </row>
    <row r="56" spans="1:8">
      <c r="A56" s="44">
        <f>B52</f>
        <v>55.24769482078711</v>
      </c>
      <c r="B56" s="43">
        <v>20</v>
      </c>
      <c r="C56" s="43">
        <f>B56+(60-20)/6</f>
        <v>26.666666666666668</v>
      </c>
      <c r="D56" s="43">
        <f t="shared" ref="D56:H56" si="9">C56+(60-20)/6</f>
        <v>33.333333333333336</v>
      </c>
      <c r="E56" s="43">
        <f t="shared" si="9"/>
        <v>40</v>
      </c>
      <c r="F56" s="43">
        <f t="shared" si="9"/>
        <v>46.666666666666664</v>
      </c>
      <c r="G56" s="43">
        <f t="shared" si="9"/>
        <v>53.333333333333329</v>
      </c>
      <c r="H56" s="43">
        <f t="shared" si="9"/>
        <v>59.999999999999993</v>
      </c>
    </row>
    <row r="57" spans="1:8">
      <c r="A57" s="42">
        <v>0.02</v>
      </c>
      <c r="B57" s="15">
        <f t="dataTable" ref="B57:H63" dt2D="1" dtr="1" r1="C2" r2="C3"/>
        <v>59.235829924457917</v>
      </c>
      <c r="C57" s="15">
        <v>48.685620535248177</v>
      </c>
      <c r="D57" s="15">
        <v>38.135411146038166</v>
      </c>
      <c r="E57" s="15">
        <v>27.585201756828454</v>
      </c>
      <c r="F57" s="15">
        <v>17.03499236761872</v>
      </c>
      <c r="G57" s="15">
        <v>6.4847829784087061</v>
      </c>
      <c r="H57" s="15">
        <v>-4.0654264108009386</v>
      </c>
    </row>
    <row r="58" spans="1:8" ht="15" thickBot="1">
      <c r="A58" s="42">
        <v>0.03</v>
      </c>
      <c r="B58" s="15">
        <v>89.723068746047687</v>
      </c>
      <c r="C58" s="15">
        <v>73.618686112187888</v>
      </c>
      <c r="D58" s="15">
        <v>57.514303478326937</v>
      </c>
      <c r="E58" s="15">
        <v>41.409920844466704</v>
      </c>
      <c r="F58" s="15">
        <v>25.305538210606116</v>
      </c>
      <c r="G58" s="15">
        <v>9.2011555767454976</v>
      </c>
      <c r="H58" s="15">
        <v>-6.9032270571147372</v>
      </c>
    </row>
    <row r="59" spans="1:8" ht="15" thickBot="1">
      <c r="A59" s="42">
        <v>0.04</v>
      </c>
      <c r="B59" s="15">
        <v>120.80155129454215</v>
      </c>
      <c r="C59" s="15">
        <v>98.950265803290463</v>
      </c>
      <c r="D59" s="15">
        <v>77.098980312039131</v>
      </c>
      <c r="E59" s="22">
        <v>55.24769482078711</v>
      </c>
      <c r="F59" s="15">
        <v>33.396409329535118</v>
      </c>
      <c r="G59" s="15">
        <v>11.545123838283816</v>
      </c>
      <c r="H59" s="15">
        <v>-10.306161652967816</v>
      </c>
    </row>
    <row r="60" spans="1:8">
      <c r="A60" s="42">
        <v>0.05</v>
      </c>
      <c r="B60" s="15">
        <v>152.48014877069852</v>
      </c>
      <c r="C60" s="15">
        <v>124.68410503108107</v>
      </c>
      <c r="D60" s="15">
        <v>96.888061291463941</v>
      </c>
      <c r="E60" s="15">
        <v>69.092017551846851</v>
      </c>
      <c r="F60" s="15">
        <v>41.295973812229818</v>
      </c>
      <c r="G60" s="15">
        <v>13.499930072612717</v>
      </c>
      <c r="H60" s="15">
        <v>-14.296113667004793</v>
      </c>
    </row>
    <row r="61" spans="1:8">
      <c r="A61" s="42">
        <v>0.06</v>
      </c>
      <c r="B61" s="15">
        <v>184.76781293248922</v>
      </c>
      <c r="C61" s="15">
        <v>150.82393852789676</v>
      </c>
      <c r="D61" s="15">
        <v>116.88006412330424</v>
      </c>
      <c r="E61" s="15">
        <v>82.936189718712541</v>
      </c>
      <c r="F61" s="15">
        <v>48.992315314119651</v>
      </c>
      <c r="G61" s="15">
        <v>15.048440909527542</v>
      </c>
      <c r="H61" s="15">
        <v>-18.895433495064911</v>
      </c>
    </row>
    <row r="62" spans="1:8">
      <c r="A62" s="42">
        <v>7.0000000000000007E-2</v>
      </c>
      <c r="B62" s="15">
        <v>217.67357633593394</v>
      </c>
      <c r="C62" s="15">
        <v>177.37348976635127</v>
      </c>
      <c r="D62" s="15">
        <v>137.07340319676894</v>
      </c>
      <c r="E62" s="15">
        <v>96.773316627186588</v>
      </c>
      <c r="F62" s="15">
        <v>56.473230057604241</v>
      </c>
      <c r="G62" s="15">
        <v>16.173143488021914</v>
      </c>
      <c r="H62" s="15">
        <v>-24.126943081560437</v>
      </c>
    </row>
    <row r="63" spans="1:8">
      <c r="A63" s="42">
        <v>0.08</v>
      </c>
      <c r="B63" s="15">
        <v>251.20655257594441</v>
      </c>
      <c r="C63" s="15">
        <v>204.33647038981439</v>
      </c>
      <c r="D63" s="15">
        <v>157.46638820368543</v>
      </c>
      <c r="E63" s="15">
        <v>110.59630601755543</v>
      </c>
      <c r="F63" s="15">
        <v>63.72622383142582</v>
      </c>
      <c r="G63" s="15">
        <v>16.856141645296141</v>
      </c>
      <c r="H63" s="15">
        <v>-30.013940540833229</v>
      </c>
    </row>
  </sheetData>
  <phoneticPr fontId="10" type="noConversion"/>
  <conditionalFormatting sqref="B57:H63">
    <cfRule type="colorScale" priority="1">
      <colorScale>
        <cfvo type="min"/>
        <cfvo type="num" val="$E$59"/>
        <cfvo type="max"/>
        <color rgb="FFF8696B"/>
        <color theme="0"/>
        <color rgb="FF63BE7B"/>
      </colorScale>
    </cfRule>
  </conditionalFormatting>
  <dataValidations count="2">
    <dataValidation type="list" allowBlank="1" showInputMessage="1" showErrorMessage="1" sqref="B3" xr:uid="{0C611525-40AB-4C27-A701-A844423F37E3}">
      <formula1>"Downside,Base,Upside"</formula1>
    </dataValidation>
    <dataValidation type="list" allowBlank="1" showInputMessage="1" showErrorMessage="1" sqref="B2" xr:uid="{C2EBF056-B0D0-4D65-92B1-85B3A07C8C43}">
      <formula1>"Lean,Base,Ambitious"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73DC-AD34-40D0-B3C6-824DEAA0A92D}">
  <dimension ref="A1:F22"/>
  <sheetViews>
    <sheetView workbookViewId="0">
      <selection activeCell="B8" sqref="B8"/>
    </sheetView>
  </sheetViews>
  <sheetFormatPr defaultRowHeight="14.4"/>
  <cols>
    <col min="1" max="1" width="44.6640625" customWidth="1"/>
  </cols>
  <sheetData>
    <row r="1" spans="1:6" ht="18">
      <c r="A1" s="1" t="s">
        <v>106</v>
      </c>
    </row>
    <row r="4" spans="1:6" ht="15.6">
      <c r="A4" s="18" t="s">
        <v>107</v>
      </c>
      <c r="B4" s="19"/>
      <c r="C4" s="19"/>
      <c r="D4" s="19"/>
      <c r="E4" s="19"/>
      <c r="F4" s="19"/>
    </row>
    <row r="5" spans="1:6">
      <c r="B5" s="5" t="s">
        <v>40</v>
      </c>
      <c r="C5" s="5" t="s">
        <v>41</v>
      </c>
      <c r="D5" s="5" t="s">
        <v>42</v>
      </c>
      <c r="E5" s="5" t="s">
        <v>43</v>
      </c>
      <c r="F5" s="5" t="s">
        <v>44</v>
      </c>
    </row>
    <row r="6" spans="1:6">
      <c r="A6" t="s">
        <v>108</v>
      </c>
      <c r="B6" s="29">
        <f>Option_A!B24-Option_A!B10</f>
        <v>312.77144782800042</v>
      </c>
      <c r="C6" s="29">
        <f>Option_A!C24-Option_A!C10</f>
        <v>295.14052131393601</v>
      </c>
      <c r="D6" s="29">
        <f>Option_A!D24-Option_A!D10</f>
        <v>278.50345012746948</v>
      </c>
      <c r="E6" s="29">
        <f>Option_A!E24-Option_A!E10</f>
        <v>262.80421064378243</v>
      </c>
      <c r="F6" s="29">
        <f>Option_A!F24-Option_A!F10</f>
        <v>247.9899372897944</v>
      </c>
    </row>
    <row r="8" spans="1:6">
      <c r="A8" t="s">
        <v>109</v>
      </c>
      <c r="B8" s="29">
        <f>B6*Cover_Assumptions!$B$45</f>
        <v>46.915717174200061</v>
      </c>
      <c r="C8" s="29">
        <f>C6*Cover_Assumptions!$B$45</f>
        <v>44.271078197090397</v>
      </c>
      <c r="D8" s="29">
        <f>D6*Cover_Assumptions!$B$45</f>
        <v>41.77551751912042</v>
      </c>
      <c r="E8" s="29">
        <f>E6*Cover_Assumptions!$B$45</f>
        <v>39.420631596567361</v>
      </c>
      <c r="F8" s="29">
        <f>F6*Cover_Assumptions!$B$45</f>
        <v>37.19849059346916</v>
      </c>
    </row>
    <row r="10" spans="1:6">
      <c r="A10" t="s">
        <v>110</v>
      </c>
      <c r="B10" s="29">
        <f>B8*Cover_Assumptions!$B$19</f>
        <v>13.136400808776019</v>
      </c>
      <c r="C10" s="29">
        <f>C8*Cover_Assumptions!$B$19</f>
        <v>12.395901895185313</v>
      </c>
      <c r="D10" s="29">
        <f>D8*Cover_Assumptions!$B$19</f>
        <v>11.697144905353719</v>
      </c>
      <c r="E10" s="29">
        <f>E8*Cover_Assumptions!$B$19</f>
        <v>11.037776847038861</v>
      </c>
      <c r="F10" s="29">
        <f>F8*Cover_Assumptions!$B$19</f>
        <v>10.415577366171366</v>
      </c>
    </row>
    <row r="12" spans="1:6">
      <c r="A12" t="s">
        <v>70</v>
      </c>
      <c r="B12" s="37">
        <f>1/(1+Cover_Assumptions!$B$4)^(COLUMN()-COLUMN($B$5)+1)</f>
        <v>0.92592592592592582</v>
      </c>
      <c r="C12" s="37">
        <f>1/(1+Cover_Assumptions!$B$4)^(COLUMN()-COLUMN($B$5)+1)</f>
        <v>0.85733882030178321</v>
      </c>
      <c r="D12" s="37">
        <f>1/(1+Cover_Assumptions!$B$4)^(COLUMN()-COLUMN($B$5)+1)</f>
        <v>0.79383224102016958</v>
      </c>
      <c r="E12" s="37">
        <f>1/(1+Cover_Assumptions!$B$4)^(COLUMN()-COLUMN($B$5)+1)</f>
        <v>0.73502985279645328</v>
      </c>
      <c r="F12" s="37">
        <f>1/(1+Cover_Assumptions!$B$4)^(COLUMN()-COLUMN($B$5)+1)</f>
        <v>0.68058319703375303</v>
      </c>
    </row>
    <row r="14" spans="1:6">
      <c r="A14" t="s">
        <v>111</v>
      </c>
      <c r="B14" s="15">
        <f>B10*B12</f>
        <v>12.163334082200016</v>
      </c>
      <c r="C14" s="15">
        <f t="shared" ref="C14:F14" si="0">C10*C12</f>
        <v>10.627487907394816</v>
      </c>
      <c r="D14" s="15">
        <f t="shared" si="0"/>
        <v>9.2855707537546017</v>
      </c>
      <c r="E14" s="15">
        <f t="shared" si="0"/>
        <v>8.1130954910790738</v>
      </c>
      <c r="F14" s="15">
        <f t="shared" si="0"/>
        <v>7.0886669428213054</v>
      </c>
    </row>
    <row r="16" spans="1:6">
      <c r="A16" s="5" t="s">
        <v>112</v>
      </c>
      <c r="B16" s="38">
        <f>SUM(B14:F14)</f>
        <v>47.278155177249808</v>
      </c>
    </row>
    <row r="19" spans="1:6" ht="16.2" thickBot="1">
      <c r="A19" s="18" t="s">
        <v>113</v>
      </c>
      <c r="B19" s="19"/>
      <c r="C19" s="19"/>
      <c r="D19" s="19"/>
      <c r="E19" s="19"/>
      <c r="F19" s="19"/>
    </row>
    <row r="20" spans="1:6" ht="15" thickBot="1">
      <c r="A20" t="s">
        <v>114</v>
      </c>
      <c r="B20" s="45">
        <f>Option_A!$B$43+Option_B!$B$52+B16</f>
        <v>375.12368544617289</v>
      </c>
    </row>
    <row r="22" spans="1:6" ht="114" customHeight="1">
      <c r="A22" s="39" t="s">
        <v>115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B38A4-FE2A-474F-9876-A3A722D31142}">
  <dimension ref="A1:E33"/>
  <sheetViews>
    <sheetView topLeftCell="A3" workbookViewId="0">
      <selection activeCell="A11" sqref="A11:E11"/>
    </sheetView>
  </sheetViews>
  <sheetFormatPr defaultRowHeight="14.4"/>
  <cols>
    <col min="1" max="1" width="42.44140625" customWidth="1"/>
    <col min="2" max="2" width="15.5546875" customWidth="1"/>
    <col min="3" max="3" width="24.21875" customWidth="1"/>
    <col min="4" max="4" width="15.44140625" customWidth="1"/>
    <col min="5" max="5" width="27" customWidth="1"/>
  </cols>
  <sheetData>
    <row r="1" spans="1:5" ht="18">
      <c r="A1" s="1" t="s">
        <v>120</v>
      </c>
    </row>
    <row r="4" spans="1:5" ht="15.6">
      <c r="A4" s="18" t="s">
        <v>121</v>
      </c>
      <c r="B4" s="19"/>
      <c r="C4" s="19"/>
      <c r="D4" s="19"/>
      <c r="E4" s="19"/>
    </row>
    <row r="6" spans="1:5">
      <c r="B6" t="s">
        <v>122</v>
      </c>
      <c r="C6" t="s">
        <v>123</v>
      </c>
      <c r="D6" t="s">
        <v>124</v>
      </c>
    </row>
    <row r="7" spans="1:5">
      <c r="A7" t="s">
        <v>38</v>
      </c>
      <c r="B7" s="6">
        <v>-55.9</v>
      </c>
      <c r="C7" s="6">
        <v>272.60000000000002</v>
      </c>
      <c r="D7" s="6">
        <v>672.7</v>
      </c>
    </row>
    <row r="8" spans="1:5">
      <c r="A8" t="s">
        <v>76</v>
      </c>
      <c r="B8" s="6">
        <v>-4.0999999999999996</v>
      </c>
      <c r="C8" s="6">
        <v>55.2</v>
      </c>
      <c r="D8" s="6">
        <v>251.2</v>
      </c>
    </row>
    <row r="9" spans="1:5">
      <c r="A9" t="s">
        <v>125</v>
      </c>
      <c r="C9" s="6">
        <v>375.1</v>
      </c>
    </row>
    <row r="10" spans="1:5">
      <c r="A10" s="3" t="s">
        <v>126</v>
      </c>
    </row>
    <row r="11" spans="1:5" ht="60.6" customHeight="1">
      <c r="A11" s="50" t="s">
        <v>173</v>
      </c>
      <c r="B11" s="50"/>
      <c r="C11" s="50"/>
      <c r="D11" s="50"/>
      <c r="E11" s="50"/>
    </row>
    <row r="13" spans="1:5" ht="15.6">
      <c r="A13" s="18" t="s">
        <v>127</v>
      </c>
      <c r="B13" s="19"/>
      <c r="C13" s="19"/>
      <c r="D13" s="19"/>
      <c r="E13" s="19"/>
    </row>
    <row r="14" spans="1:5">
      <c r="A14" s="5" t="s">
        <v>150</v>
      </c>
      <c r="B14" s="5" t="s">
        <v>151</v>
      </c>
      <c r="C14" s="5" t="s">
        <v>152</v>
      </c>
      <c r="D14" s="5" t="s">
        <v>153</v>
      </c>
      <c r="E14" s="5" t="s">
        <v>154</v>
      </c>
    </row>
    <row r="15" spans="1:5" ht="103.2" customHeight="1">
      <c r="A15" t="s">
        <v>128</v>
      </c>
      <c r="B15" t="s">
        <v>137</v>
      </c>
      <c r="C15" s="46" t="s">
        <v>141</v>
      </c>
      <c r="D15" t="s">
        <v>139</v>
      </c>
      <c r="E15" s="46" t="s">
        <v>155</v>
      </c>
    </row>
    <row r="16" spans="1:5" ht="88.2" customHeight="1">
      <c r="A16" t="s">
        <v>129</v>
      </c>
      <c r="B16" t="s">
        <v>138</v>
      </c>
      <c r="C16" s="46" t="s">
        <v>156</v>
      </c>
      <c r="D16" t="s">
        <v>137</v>
      </c>
      <c r="E16" s="46" t="s">
        <v>157</v>
      </c>
    </row>
    <row r="17" spans="1:5" ht="60" customHeight="1">
      <c r="A17" t="s">
        <v>130</v>
      </c>
      <c r="B17" t="s">
        <v>139</v>
      </c>
      <c r="C17" s="46" t="s">
        <v>142</v>
      </c>
      <c r="D17" t="s">
        <v>140</v>
      </c>
      <c r="E17" s="46" t="s">
        <v>143</v>
      </c>
    </row>
    <row r="18" spans="1:5" ht="115.2">
      <c r="A18" t="s">
        <v>131</v>
      </c>
      <c r="B18" t="s">
        <v>138</v>
      </c>
      <c r="C18" s="46" t="s">
        <v>158</v>
      </c>
      <c r="D18" t="s">
        <v>137</v>
      </c>
      <c r="E18" s="46" t="s">
        <v>159</v>
      </c>
    </row>
    <row r="19" spans="1:5">
      <c r="C19" s="46"/>
      <c r="E19" s="46"/>
    </row>
    <row r="20" spans="1:5" ht="15.6">
      <c r="A20" s="18" t="s">
        <v>132</v>
      </c>
      <c r="B20" s="19"/>
      <c r="C20" s="19"/>
      <c r="D20" s="19"/>
      <c r="E20" s="19"/>
    </row>
    <row r="21" spans="1:5">
      <c r="A21" s="5" t="s">
        <v>150</v>
      </c>
      <c r="B21" s="5" t="s">
        <v>151</v>
      </c>
      <c r="C21" s="5" t="s">
        <v>152</v>
      </c>
      <c r="D21" s="5" t="s">
        <v>153</v>
      </c>
      <c r="E21" s="5" t="s">
        <v>154</v>
      </c>
    </row>
    <row r="22" spans="1:5" ht="75.599999999999994" customHeight="1">
      <c r="A22" t="s">
        <v>133</v>
      </c>
      <c r="B22" t="s">
        <v>137</v>
      </c>
      <c r="C22" s="46" t="s">
        <v>144</v>
      </c>
      <c r="D22" t="s">
        <v>137</v>
      </c>
      <c r="E22" s="46" t="s">
        <v>145</v>
      </c>
    </row>
    <row r="23" spans="1:5" ht="45.6" customHeight="1">
      <c r="A23" t="s">
        <v>134</v>
      </c>
      <c r="B23" t="s">
        <v>139</v>
      </c>
      <c r="C23" s="46" t="s">
        <v>146</v>
      </c>
      <c r="D23" t="s">
        <v>138</v>
      </c>
      <c r="E23" s="46" t="s">
        <v>147</v>
      </c>
    </row>
    <row r="24" spans="1:5" ht="56.4" customHeight="1">
      <c r="A24" t="s">
        <v>135</v>
      </c>
      <c r="B24" t="s">
        <v>139</v>
      </c>
      <c r="C24" s="46" t="s">
        <v>160</v>
      </c>
      <c r="D24" t="s">
        <v>137</v>
      </c>
      <c r="E24" s="46" t="s">
        <v>148</v>
      </c>
    </row>
    <row r="25" spans="1:5" ht="188.4" customHeight="1">
      <c r="A25" t="s">
        <v>136</v>
      </c>
      <c r="B25" t="s">
        <v>138</v>
      </c>
      <c r="C25" s="46" t="s">
        <v>149</v>
      </c>
      <c r="D25" t="s">
        <v>161</v>
      </c>
      <c r="E25" s="46" t="s">
        <v>162</v>
      </c>
    </row>
    <row r="28" spans="1:5" ht="15.6">
      <c r="A28" s="18" t="s">
        <v>163</v>
      </c>
      <c r="B28" s="19"/>
      <c r="C28" s="19"/>
      <c r="D28" s="19"/>
      <c r="E28" s="19"/>
    </row>
    <row r="29" spans="1:5" ht="90" customHeight="1">
      <c r="A29" s="49" t="s">
        <v>165</v>
      </c>
      <c r="B29" s="49"/>
      <c r="C29" s="49"/>
      <c r="D29" s="49"/>
      <c r="E29" s="49"/>
    </row>
    <row r="31" spans="1:5" ht="15.6">
      <c r="A31" s="18" t="s">
        <v>164</v>
      </c>
      <c r="B31" s="19"/>
      <c r="C31" s="19"/>
      <c r="D31" s="19"/>
      <c r="E31" s="19"/>
    </row>
    <row r="32" spans="1:5" ht="31.8" customHeight="1">
      <c r="A32" s="5" t="s">
        <v>166</v>
      </c>
      <c r="B32" s="49" t="s">
        <v>168</v>
      </c>
      <c r="C32" s="49"/>
      <c r="D32" s="49"/>
      <c r="E32" s="49"/>
    </row>
    <row r="33" spans="1:5" ht="46.2" customHeight="1">
      <c r="A33" s="5" t="s">
        <v>167</v>
      </c>
      <c r="B33" s="49" t="s">
        <v>169</v>
      </c>
      <c r="C33" s="49"/>
      <c r="D33" s="49"/>
      <c r="E33" s="49"/>
    </row>
  </sheetData>
  <mergeCells count="4">
    <mergeCell ref="A29:E29"/>
    <mergeCell ref="B32:E32"/>
    <mergeCell ref="B33:E33"/>
    <mergeCell ref="A11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Cover_Assumptions</vt:lpstr>
      <vt:lpstr>Option_A</vt:lpstr>
      <vt:lpstr>Option_B</vt:lpstr>
      <vt:lpstr>Combined_Scenario</vt:lpstr>
      <vt:lpstr>Portfolio_Comparison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Cannon</dc:creator>
  <cp:lastModifiedBy>Chris Cannon</cp:lastModifiedBy>
  <dcterms:created xsi:type="dcterms:W3CDTF">2026-07-13T16:16:08Z</dcterms:created>
  <dcterms:modified xsi:type="dcterms:W3CDTF">2026-09-28T15:11:32Z</dcterms:modified>
</cp:coreProperties>
</file>